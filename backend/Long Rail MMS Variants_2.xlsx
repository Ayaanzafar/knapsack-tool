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bc832d3b26365f/Documents/"/>
    </mc:Choice>
  </mc:AlternateContent>
  <xr:revisionPtr revIDLastSave="0" documentId="8_{62C5406B-5EDC-4C17-A3DB-B25EDDABC0F6}" xr6:coauthVersionLast="47" xr6:coauthVersionMax="47" xr10:uidLastSave="{00000000-0000-0000-0000-000000000000}"/>
  <bookViews>
    <workbookView xWindow="-108" yWindow="-108" windowWidth="23256" windowHeight="13896" xr2:uid="{D7D70F79-DB30-4DF6-8D55-CA84EC3304BE}"/>
  </bookViews>
  <sheets>
    <sheet name="Variants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9" r:id="rId8"/>
    <sheet name="8" sheetId="10" r:id="rId9"/>
    <sheet name="9" sheetId="11" r:id="rId10"/>
    <sheet name="10" sheetId="12" r:id="rId11"/>
    <sheet name="11" sheetId="1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1" l="1"/>
  <c r="N8" i="11"/>
  <c r="O8" i="11" s="1"/>
  <c r="R8" i="11" s="1"/>
  <c r="S8" i="11" s="1"/>
  <c r="L16" i="11"/>
  <c r="T11" i="11"/>
  <c r="T10" i="11"/>
  <c r="L10" i="11"/>
  <c r="N10" i="11" s="1"/>
  <c r="O10" i="11" s="1"/>
  <c r="R10" i="11" s="1"/>
  <c r="S10" i="11" s="1"/>
  <c r="V10" i="11" s="1"/>
  <c r="T9" i="11"/>
  <c r="L9" i="11"/>
  <c r="T7" i="11"/>
  <c r="T6" i="11"/>
  <c r="L6" i="11"/>
  <c r="L17" i="11" s="1"/>
  <c r="T5" i="11"/>
  <c r="L5" i="11"/>
  <c r="L11" i="11" l="1"/>
  <c r="V8" i="11"/>
  <c r="L13" i="11"/>
  <c r="L14" i="11"/>
  <c r="L12" i="11"/>
  <c r="N12" i="11" s="1"/>
  <c r="O12" i="11" s="1"/>
  <c r="V12" i="11" s="1"/>
  <c r="N13" i="11"/>
  <c r="N6" i="11"/>
  <c r="O6" i="11" s="1"/>
  <c r="R6" i="11" s="1"/>
  <c r="S6" i="11" s="1"/>
  <c r="V6" i="11" s="1"/>
  <c r="L7" i="11"/>
  <c r="N7" i="11" s="1"/>
  <c r="L18" i="11"/>
  <c r="N17" i="11"/>
  <c r="O17" i="11" s="1"/>
  <c r="V17" i="11" s="1"/>
  <c r="N11" i="11"/>
  <c r="O11" i="11" s="1"/>
  <c r="R11" i="11" s="1"/>
  <c r="S11" i="11" s="1"/>
  <c r="V11" i="11" s="1"/>
  <c r="N9" i="11"/>
  <c r="O9" i="11" s="1"/>
  <c r="R9" i="11" s="1"/>
  <c r="S9" i="11" s="1"/>
  <c r="V9" i="11" s="1"/>
  <c r="N5" i="11"/>
  <c r="O5" i="11" s="1"/>
  <c r="N14" i="11" l="1"/>
  <c r="O14" i="11" s="1"/>
  <c r="R5" i="11"/>
  <c r="S5" i="11" s="1"/>
  <c r="N16" i="11"/>
  <c r="O13" i="11"/>
  <c r="V13" i="11" s="1"/>
  <c r="O7" i="11"/>
  <c r="R7" i="11" s="1"/>
  <c r="S7" i="11" s="1"/>
  <c r="V7" i="11" s="1"/>
  <c r="L15" i="11"/>
  <c r="N15" i="11" s="1"/>
  <c r="O15" i="11" s="1"/>
  <c r="V15" i="11" s="1"/>
  <c r="N18" i="11"/>
  <c r="O18" i="11" s="1"/>
  <c r="V18" i="11" s="1"/>
  <c r="V5" i="11" l="1"/>
  <c r="O16" i="11"/>
  <c r="V16" i="11" s="1"/>
</calcChain>
</file>

<file path=xl/sharedStrings.xml><?xml version="1.0" encoding="utf-8"?>
<sst xmlns="http://schemas.openxmlformats.org/spreadsheetml/2006/main" count="902" uniqueCount="142">
  <si>
    <t>S.N</t>
  </si>
  <si>
    <t>Key Variant parameters</t>
  </si>
  <si>
    <t>Unified U Cleat (MA110)</t>
  </si>
  <si>
    <t>U Cleat Long Rail - Regular</t>
  </si>
  <si>
    <t>Rail</t>
  </si>
  <si>
    <t>Cleat</t>
  </si>
  <si>
    <t>40mm Long Rail (MA43)</t>
  </si>
  <si>
    <t>Additonal Base</t>
  </si>
  <si>
    <t>Curve Base (MA52)</t>
  </si>
  <si>
    <t>U Cleat Long Rail - Regular - Asbestos</t>
  </si>
  <si>
    <t>U Cleat Long Rail - Regular - Seam Clamp</t>
  </si>
  <si>
    <t>Standing Seam (Any)</t>
  </si>
  <si>
    <t>60mm Long Rail (MA43)</t>
  </si>
  <si>
    <t>U Cleat Long Rail - Large Span/Height</t>
  </si>
  <si>
    <t>U Cleat Long Rail - Large Span - Asbestos</t>
  </si>
  <si>
    <t>U Cleat Long Rail - Large Height - Seam Clamp</t>
  </si>
  <si>
    <t>Seam Clamp(Any)</t>
  </si>
  <si>
    <t>L Cleat Long Rail - Regular</t>
  </si>
  <si>
    <t>45mm Long Rail (MA55)</t>
  </si>
  <si>
    <t>90mm L Cleat (MA55)</t>
  </si>
  <si>
    <t>L Cleat Long Rail - Regular - Asbestos</t>
  </si>
  <si>
    <t>L Cleat Long Rail - Regular - Seam Clamp</t>
  </si>
  <si>
    <t>117mm L Cleat (EX56)</t>
  </si>
  <si>
    <t>External U Cleat (SN5306)
Internal U Cleat (MA44)</t>
  </si>
  <si>
    <t>L Cleat Long Rail - Large span</t>
  </si>
  <si>
    <t>60mm Long Rail (MA90)</t>
  </si>
  <si>
    <t>L Cleat Long Rail - Large Height - Seam Clamp</t>
  </si>
  <si>
    <t>L Cleat Long Rail - Large Height - Asbestos</t>
  </si>
  <si>
    <t>L Cleat Long Rail - Large Cleat</t>
  </si>
  <si>
    <t>L Cleat Long Rail - Large  Cleat</t>
  </si>
  <si>
    <t>L Cleat Long Rail - Large Cleat - Asbestos</t>
  </si>
  <si>
    <t>L Cleat Long Rail - Large Cleat - Seam Clamp</t>
  </si>
  <si>
    <t>C45 Long Rail</t>
  </si>
  <si>
    <t>C45 Base (RL 49709)
C45 Latch - (RL 49708)</t>
  </si>
  <si>
    <t>Seam to Seam Distance</t>
  </si>
  <si>
    <t>BOM Template Name</t>
  </si>
  <si>
    <t>Double U Cleat Long Rail -160mm Height</t>
  </si>
  <si>
    <t>Double U Cleat Long Rail -180mm Height</t>
  </si>
  <si>
    <t>Site Inputs</t>
  </si>
  <si>
    <t>Purlin to Purlin Distance</t>
  </si>
  <si>
    <t>Long Rail MMS Variants other than End and Mid Clamps (module thickness)</t>
  </si>
  <si>
    <t xml:space="preserve">C45 Long Rail </t>
  </si>
  <si>
    <t>C45 Long Rail - Asbestos</t>
  </si>
  <si>
    <t>C45 Long Rail - Seam Clamp</t>
  </si>
  <si>
    <t>Sunrack Code</t>
  </si>
  <si>
    <t>Item Description</t>
  </si>
  <si>
    <t>Material</t>
  </si>
  <si>
    <t>Length (mm)</t>
  </si>
  <si>
    <t>UoM</t>
  </si>
  <si>
    <t>Quantity</t>
  </si>
  <si>
    <t>MA -43</t>
  </si>
  <si>
    <t>AA 6063</t>
  </si>
  <si>
    <t>Nos</t>
  </si>
  <si>
    <t>MA -110</t>
  </si>
  <si>
    <t>MA -72</t>
  </si>
  <si>
    <t>Rail Jointer</t>
  </si>
  <si>
    <t>SR - 03</t>
  </si>
  <si>
    <t>End Clamps-35mm</t>
  </si>
  <si>
    <t>MA - 35</t>
  </si>
  <si>
    <t xml:space="preserve">Mid Clamps </t>
  </si>
  <si>
    <t>MA - 46</t>
  </si>
  <si>
    <t>Rail Nuts</t>
  </si>
  <si>
    <t>SS304</t>
  </si>
  <si>
    <t>GI</t>
  </si>
  <si>
    <t>Rubber Pad 40x40mm for U- cleat</t>
  </si>
  <si>
    <t>EPDM</t>
  </si>
  <si>
    <t>Profile Image</t>
  </si>
  <si>
    <t>Take respective Quanity from basic calcuation sheet</t>
  </si>
  <si>
    <t>Long Rail
(Multiple Line items one for each cut length)</t>
  </si>
  <si>
    <t>Equal to sum of SB1 &amp; SB2  in basic calculation sheet</t>
  </si>
  <si>
    <t>Equal to Joints in basic calculation sheet</t>
  </si>
  <si>
    <t>Equal to End clamps in basic calculation sheet</t>
  </si>
  <si>
    <t>Equal to Mid clamps in basic calculation sheet</t>
  </si>
  <si>
    <t>Equal to Sum of End &amp; Mid Clamps</t>
  </si>
  <si>
    <t>Equal to Number of U Cleats</t>
  </si>
  <si>
    <t>U Cleat (5mm Hole)</t>
  </si>
  <si>
    <t>Equal to End Clamps</t>
  </si>
  <si>
    <t>Equal to Mid Clamps</t>
  </si>
  <si>
    <t>M8 Hex Head Fastener Set</t>
  </si>
  <si>
    <t>M8  Allen Head Bolt with Spring Washer</t>
  </si>
  <si>
    <t>M8 Allen Head Bolt with Spring Washer</t>
  </si>
  <si>
    <t>Equal to (Number of Jointers x 4)</t>
  </si>
  <si>
    <t>Equal to SB2 in basic Calculation</t>
  </si>
  <si>
    <t>Equal to SB1 in basic Calculation</t>
  </si>
  <si>
    <t>Self Drilling Screw -  4.2X19mm - Hex Head</t>
  </si>
  <si>
    <t>Self Drilling Screw -  4.8X19mm - Hex Head</t>
  </si>
  <si>
    <t>Self Drilling Screw -  5.5X63mm - Hex Head</t>
  </si>
  <si>
    <t xml:space="preserve">Cutlength from Basic Calculation </t>
  </si>
  <si>
    <t>Asbestos Curved Base</t>
  </si>
  <si>
    <t>MA -52</t>
  </si>
  <si>
    <t>U Cleat (9mm Hole)</t>
  </si>
  <si>
    <t>MA -57</t>
  </si>
  <si>
    <t>M8 Allen Head Bolt with Plain &amp; Spring Washer</t>
  </si>
  <si>
    <t>M8 Grub Screw</t>
  </si>
  <si>
    <t>Equal to (Number of Seam Clamp x 2)</t>
  </si>
  <si>
    <t>Seam Clamp (2 Grub screws)</t>
  </si>
  <si>
    <t>Equal to Number of Seam Clamps</t>
  </si>
  <si>
    <t>MA -100</t>
  </si>
  <si>
    <t>Internal U Cleat</t>
  </si>
  <si>
    <t>External U Cleat - Large (5mm Hole)</t>
  </si>
  <si>
    <t>SN - 5306</t>
  </si>
  <si>
    <t>MA - 43</t>
  </si>
  <si>
    <t>MA - 44</t>
  </si>
  <si>
    <t>MA -102</t>
  </si>
  <si>
    <t>Equal to Number of External U Cleat</t>
  </si>
  <si>
    <t>Self Drilling Screw -  6.3X63mm - Hex Head</t>
  </si>
  <si>
    <t>Spare</t>
  </si>
  <si>
    <t>Weight Calculation and Cost Calculation</t>
  </si>
  <si>
    <t>Profile</t>
  </si>
  <si>
    <t>Spare Quantity</t>
  </si>
  <si>
    <t>Total Quantity</t>
  </si>
  <si>
    <t>Wt/
RM</t>
  </si>
  <si>
    <t>RM</t>
  </si>
  <si>
    <t>Wt</t>
  </si>
  <si>
    <t>Rate per Unit wt</t>
  </si>
  <si>
    <t>Rate Per Piece</t>
  </si>
  <si>
    <t>Cost</t>
  </si>
  <si>
    <t>C45 Rail - 1</t>
  </si>
  <si>
    <t>Magnelis</t>
  </si>
  <si>
    <t>RL - 49709</t>
  </si>
  <si>
    <t>C45 U Base(5mm Hole)</t>
  </si>
  <si>
    <t>RL - 49708</t>
  </si>
  <si>
    <t>C45 Latch</t>
  </si>
  <si>
    <t>MA - 109</t>
  </si>
  <si>
    <t>End Clamps-30mm</t>
  </si>
  <si>
    <t>RL - 49704</t>
  </si>
  <si>
    <t>M8x16 Allen Head Bolt for Latch</t>
  </si>
  <si>
    <t xml:space="preserve">Note: </t>
  </si>
  <si>
    <t>1. Purlin to Purlin distance of exisitng roof structure is assumed to be 1500mm</t>
  </si>
  <si>
    <t>Aluminium Rate/kg</t>
  </si>
  <si>
    <t>Steel Rate/kg</t>
  </si>
  <si>
    <t>Sample Calculation</t>
  </si>
  <si>
    <t>Sample</t>
  </si>
  <si>
    <t>Length</t>
  </si>
  <si>
    <t>Equal to Number of C45 Base</t>
  </si>
  <si>
    <t>Jointers</t>
  </si>
  <si>
    <t>LA 35x45x1.2</t>
  </si>
  <si>
    <t>Equal to Number C45 Base</t>
  </si>
  <si>
    <t>C45 Rail</t>
  </si>
  <si>
    <t xml:space="preserve">2. This Bill of material &amp; price strictly corresponds to above assumptions. If there is any deviation is obseerved from above assumptions that may lead to increase of quantity of Material, it shall be charged extra. </t>
  </si>
  <si>
    <t>M8 Allen Head Bolt for Latch</t>
  </si>
  <si>
    <t>Rubber Pad 40x40mm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</si>
</sst>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0.0%"/>
    <numFmt numFmtId="167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9" fontId="0" fillId="0" borderId="0" xfId="1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1" xfId="2" applyNumberFormat="1" applyFont="1" applyFill="1" applyBorder="1" applyAlignment="1">
      <alignment horizontal="right" vertical="center"/>
    </xf>
    <xf numFmtId="2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4" fontId="0" fillId="0" borderId="1" xfId="2" applyNumberFormat="1" applyFont="1" applyFill="1" applyBorder="1" applyAlignment="1">
      <alignment vertical="center"/>
    </xf>
    <xf numFmtId="9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43" fontId="0" fillId="0" borderId="0" xfId="0" applyNumberFormat="1"/>
    <xf numFmtId="165" fontId="0" fillId="0" borderId="0" xfId="0" applyNumberForma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5" borderId="1" xfId="0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0" xfId="0" applyFill="1"/>
    <xf numFmtId="164" fontId="0" fillId="5" borderId="1" xfId="2" applyNumberFormat="1" applyFont="1" applyFill="1" applyBorder="1" applyAlignment="1">
      <alignment horizontal="right" vertical="center"/>
    </xf>
    <xf numFmtId="2" fontId="0" fillId="5" borderId="1" xfId="0" applyNumberFormat="1" applyFill="1" applyBorder="1" applyAlignment="1">
      <alignment vertical="center"/>
    </xf>
    <xf numFmtId="167" fontId="0" fillId="5" borderId="1" xfId="0" applyNumberFormat="1" applyFill="1" applyBorder="1" applyAlignment="1">
      <alignment vertical="center"/>
    </xf>
    <xf numFmtId="165" fontId="0" fillId="5" borderId="1" xfId="0" applyNumberFormat="1" applyFill="1" applyBorder="1" applyAlignment="1">
      <alignment vertical="center"/>
    </xf>
    <xf numFmtId="164" fontId="0" fillId="5" borderId="1" xfId="2" applyNumberFormat="1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122274</xdr:colOff>
      <xdr:row>17</xdr:row>
      <xdr:rowOff>93439</xdr:rowOff>
    </xdr:from>
    <xdr:to>
      <xdr:col>3</xdr:col>
      <xdr:colOff>364070</xdr:colOff>
      <xdr:row>17</xdr:row>
      <xdr:rowOff>304454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90AA71-7B21-4F71-AAF8-113D4BEC5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91054" y="6699979"/>
          <a:ext cx="241796" cy="211015"/>
        </a:xfrm>
        <a:prstGeom prst="rect">
          <a:avLst/>
        </a:prstGeom>
      </xdr:spPr>
    </xdr:pic>
    <xdr:clientData/>
  </xdr:twoCellAnchor>
  <xdr:twoCellAnchor>
    <xdr:from>
      <xdr:col>3</xdr:col>
      <xdr:colOff>73508</xdr:colOff>
      <xdr:row>17</xdr:row>
      <xdr:rowOff>0</xdr:rowOff>
    </xdr:from>
    <xdr:to>
      <xdr:col>3</xdr:col>
      <xdr:colOff>385928</xdr:colOff>
      <xdr:row>17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7A7337-9AA5-436B-9C93-B9EBC3414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2288" y="6606540"/>
          <a:ext cx="312420" cy="0"/>
        </a:xfrm>
        <a:prstGeom prst="rect">
          <a:avLst/>
        </a:prstGeom>
      </xdr:spPr>
    </xdr:pic>
    <xdr:clientData/>
  </xdr:twoCellAnchor>
  <xdr:twoCellAnchor>
    <xdr:from>
      <xdr:col>3</xdr:col>
      <xdr:colOff>75860</xdr:colOff>
      <xdr:row>11</xdr:row>
      <xdr:rowOff>57151</xdr:rowOff>
    </xdr:from>
    <xdr:to>
      <xdr:col>3</xdr:col>
      <xdr:colOff>359020</xdr:colOff>
      <xdr:row>11</xdr:row>
      <xdr:rowOff>335983</xdr:rowOff>
    </xdr:to>
    <xdr:pic>
      <xdr:nvPicPr>
        <xdr:cNvPr id="7" name="Picture 39" descr="DIN 933 10.9 - Hex head bolt M8x60 (6 pcs.), FP-suspension | Enex">
          <a:extLst>
            <a:ext uri="{FF2B5EF4-FFF2-40B4-BE49-F238E27FC236}">
              <a16:creationId xmlns:a16="http://schemas.microsoft.com/office/drawing/2014/main" id="{60B1C961-5089-4568-9393-2D05EA6A7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H="1">
          <a:off x="1744640" y="3996691"/>
          <a:ext cx="283160" cy="278832"/>
        </a:xfrm>
        <a:prstGeom prst="rect">
          <a:avLst/>
        </a:prstGeom>
        <a:noFill/>
      </xdr:spPr>
    </xdr:pic>
    <xdr:clientData/>
  </xdr:twoCellAnchor>
  <xdr:twoCellAnchor>
    <xdr:from>
      <xdr:col>3</xdr:col>
      <xdr:colOff>105334</xdr:colOff>
      <xdr:row>8</xdr:row>
      <xdr:rowOff>56609</xdr:rowOff>
    </xdr:from>
    <xdr:to>
      <xdr:col>3</xdr:col>
      <xdr:colOff>360924</xdr:colOff>
      <xdr:row>8</xdr:row>
      <xdr:rowOff>365088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D8916C-0F34-41F8-8372-35C1CAFEE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74114" y="2853149"/>
          <a:ext cx="255590" cy="308479"/>
        </a:xfrm>
        <a:prstGeom prst="rect">
          <a:avLst/>
        </a:prstGeom>
      </xdr:spPr>
    </xdr:pic>
    <xdr:clientData/>
  </xdr:twoCellAnchor>
  <xdr:twoCellAnchor>
    <xdr:from>
      <xdr:col>3</xdr:col>
      <xdr:colOff>96756</xdr:colOff>
      <xdr:row>12</xdr:row>
      <xdr:rowOff>61517</xdr:rowOff>
    </xdr:from>
    <xdr:to>
      <xdr:col>3</xdr:col>
      <xdr:colOff>335710</xdr:colOff>
      <xdr:row>12</xdr:row>
      <xdr:rowOff>327661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5BA28B9-8EFF-4A03-A889-6672ADD22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65536" y="4382057"/>
          <a:ext cx="238954" cy="266144"/>
        </a:xfrm>
        <a:prstGeom prst="rect">
          <a:avLst/>
        </a:prstGeom>
      </xdr:spPr>
    </xdr:pic>
    <xdr:clientData/>
  </xdr:twoCellAnchor>
  <xdr:twoCellAnchor>
    <xdr:from>
      <xdr:col>3</xdr:col>
      <xdr:colOff>129989</xdr:colOff>
      <xdr:row>4</xdr:row>
      <xdr:rowOff>0</xdr:rowOff>
    </xdr:from>
    <xdr:to>
      <xdr:col>3</xdr:col>
      <xdr:colOff>342649</xdr:colOff>
      <xdr:row>4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0128C9F-4D95-4B3F-8B62-E22F20A74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98769" y="1272540"/>
          <a:ext cx="212660" cy="0"/>
        </a:xfrm>
        <a:prstGeom prst="rect">
          <a:avLst/>
        </a:prstGeom>
      </xdr:spPr>
    </xdr:pic>
    <xdr:clientData/>
  </xdr:twoCellAnchor>
  <xdr:twoCellAnchor>
    <xdr:from>
      <xdr:col>3</xdr:col>
      <xdr:colOff>104629</xdr:colOff>
      <xdr:row>9</xdr:row>
      <xdr:rowOff>104484</xdr:rowOff>
    </xdr:from>
    <xdr:to>
      <xdr:col>3</xdr:col>
      <xdr:colOff>396791</xdr:colOff>
      <xdr:row>9</xdr:row>
      <xdr:rowOff>252925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610B8E-5336-4CE9-ACFC-8B7AE7723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3409" y="3282024"/>
          <a:ext cx="292162" cy="148441"/>
        </a:xfrm>
        <a:prstGeom prst="rect">
          <a:avLst/>
        </a:prstGeom>
      </xdr:spPr>
    </xdr:pic>
    <xdr:clientData/>
  </xdr:twoCellAnchor>
  <xdr:twoCellAnchor>
    <xdr:from>
      <xdr:col>3</xdr:col>
      <xdr:colOff>129540</xdr:colOff>
      <xdr:row>16</xdr:row>
      <xdr:rowOff>53341</xdr:rowOff>
    </xdr:from>
    <xdr:to>
      <xdr:col>3</xdr:col>
      <xdr:colOff>317936</xdr:colOff>
      <xdr:row>16</xdr:row>
      <xdr:rowOff>350521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7E7CFD1-46C8-4121-8E52-76A4BBE22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8320" y="6278881"/>
          <a:ext cx="188396" cy="297180"/>
        </a:xfrm>
        <a:prstGeom prst="rect">
          <a:avLst/>
        </a:prstGeom>
      </xdr:spPr>
    </xdr:pic>
    <xdr:clientData/>
  </xdr:twoCellAnchor>
  <xdr:twoCellAnchor>
    <xdr:from>
      <xdr:col>3</xdr:col>
      <xdr:colOff>137160</xdr:colOff>
      <xdr:row>5</xdr:row>
      <xdr:rowOff>45720</xdr:rowOff>
    </xdr:from>
    <xdr:to>
      <xdr:col>3</xdr:col>
      <xdr:colOff>350520</xdr:colOff>
      <xdr:row>5</xdr:row>
      <xdr:rowOff>359688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F90A126-F722-4322-A3E1-E6CEF6EEA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05940" y="2080260"/>
          <a:ext cx="213360" cy="313968"/>
        </a:xfrm>
        <a:prstGeom prst="rect">
          <a:avLst/>
        </a:prstGeom>
      </xdr:spPr>
    </xdr:pic>
    <xdr:clientData/>
  </xdr:twoCellAnchor>
  <xdr:twoCellAnchor>
    <xdr:from>
      <xdr:col>3</xdr:col>
      <xdr:colOff>171029</xdr:colOff>
      <xdr:row>6</xdr:row>
      <xdr:rowOff>130620</xdr:rowOff>
    </xdr:from>
    <xdr:to>
      <xdr:col>3</xdr:col>
      <xdr:colOff>296323</xdr:colOff>
      <xdr:row>6</xdr:row>
      <xdr:rowOff>306031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F587F8-F129-43EA-8DF7-9900ABC27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20116565">
          <a:off x="1839809" y="2546160"/>
          <a:ext cx="125294" cy="175411"/>
        </a:xfrm>
        <a:prstGeom prst="rect">
          <a:avLst/>
        </a:prstGeom>
      </xdr:spPr>
    </xdr:pic>
    <xdr:clientData/>
  </xdr:twoCellAnchor>
  <xdr:twoCellAnchor>
    <xdr:from>
      <xdr:col>3</xdr:col>
      <xdr:colOff>76201</xdr:colOff>
      <xdr:row>10</xdr:row>
      <xdr:rowOff>144781</xdr:rowOff>
    </xdr:from>
    <xdr:to>
      <xdr:col>3</xdr:col>
      <xdr:colOff>354807</xdr:colOff>
      <xdr:row>10</xdr:row>
      <xdr:rowOff>281941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1ED071D-9899-4D0D-90D3-EC861F000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44981" y="3703321"/>
          <a:ext cx="278606" cy="137160"/>
        </a:xfrm>
        <a:prstGeom prst="rect">
          <a:avLst/>
        </a:prstGeom>
      </xdr:spPr>
    </xdr:pic>
    <xdr:clientData/>
  </xdr:twoCellAnchor>
  <xdr:twoCellAnchor>
    <xdr:from>
      <xdr:col>3</xdr:col>
      <xdr:colOff>123650</xdr:colOff>
      <xdr:row>14</xdr:row>
      <xdr:rowOff>62862</xdr:rowOff>
    </xdr:from>
    <xdr:to>
      <xdr:col>3</xdr:col>
      <xdr:colOff>362604</xdr:colOff>
      <xdr:row>14</xdr:row>
      <xdr:rowOff>329006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26C2D3C-28D8-4AAA-90DB-076366984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92430" y="4764402"/>
          <a:ext cx="238954" cy="266144"/>
        </a:xfrm>
        <a:prstGeom prst="rect">
          <a:avLst/>
        </a:prstGeom>
      </xdr:spPr>
    </xdr:pic>
    <xdr:clientData/>
  </xdr:twoCellAnchor>
  <xdr:twoCellAnchor>
    <xdr:from>
      <xdr:col>3</xdr:col>
      <xdr:colOff>125731</xdr:colOff>
      <xdr:row>4</xdr:row>
      <xdr:rowOff>82869</xdr:rowOff>
    </xdr:from>
    <xdr:to>
      <xdr:col>3</xdr:col>
      <xdr:colOff>354331</xdr:colOff>
      <xdr:row>4</xdr:row>
      <xdr:rowOff>309563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473B9E7-FA9C-4301-9382-3F1BEFFF3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94511" y="1355409"/>
          <a:ext cx="228600" cy="226694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13</xdr:row>
      <xdr:rowOff>60960</xdr:rowOff>
    </xdr:from>
    <xdr:to>
      <xdr:col>3</xdr:col>
      <xdr:colOff>322774</xdr:colOff>
      <xdr:row>13</xdr:row>
      <xdr:rowOff>327104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F66A83B-F0CA-4B98-9DBD-B07C416D3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897380" y="4907280"/>
          <a:ext cx="238954" cy="266144"/>
        </a:xfrm>
        <a:prstGeom prst="rect">
          <a:avLst/>
        </a:prstGeom>
      </xdr:spPr>
    </xdr:pic>
    <xdr:clientData/>
  </xdr:twoCellAnchor>
  <xdr:twoCellAnchor>
    <xdr:from>
      <xdr:col>3</xdr:col>
      <xdr:colOff>160020</xdr:colOff>
      <xdr:row>15</xdr:row>
      <xdr:rowOff>38101</xdr:rowOff>
    </xdr:from>
    <xdr:to>
      <xdr:col>3</xdr:col>
      <xdr:colOff>348416</xdr:colOff>
      <xdr:row>15</xdr:row>
      <xdr:rowOff>335281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675510B-F349-4D7C-89A8-5621EA05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3580" y="5646421"/>
          <a:ext cx="188396" cy="297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73508</xdr:colOff>
      <xdr:row>17</xdr:row>
      <xdr:rowOff>0</xdr:rowOff>
    </xdr:from>
    <xdr:to>
      <xdr:col>3</xdr:col>
      <xdr:colOff>385928</xdr:colOff>
      <xdr:row>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BDA008-FD85-40EB-B1B4-0236C7DE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87068" y="6370320"/>
          <a:ext cx="312420" cy="0"/>
        </a:xfrm>
        <a:prstGeom prst="rect">
          <a:avLst/>
        </a:prstGeom>
      </xdr:spPr>
    </xdr:pic>
    <xdr:clientData/>
  </xdr:twoCellAnchor>
  <xdr:twoCellAnchor>
    <xdr:from>
      <xdr:col>3</xdr:col>
      <xdr:colOff>129989</xdr:colOff>
      <xdr:row>4</xdr:row>
      <xdr:rowOff>0</xdr:rowOff>
    </xdr:from>
    <xdr:to>
      <xdr:col>3</xdr:col>
      <xdr:colOff>342649</xdr:colOff>
      <xdr:row>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624E6A-A010-4DD3-97E3-757B5F4B7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43549" y="1417320"/>
          <a:ext cx="21266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73508</xdr:colOff>
      <xdr:row>18</xdr:row>
      <xdr:rowOff>0</xdr:rowOff>
    </xdr:from>
    <xdr:to>
      <xdr:col>3</xdr:col>
      <xdr:colOff>385928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6CF18-2074-4065-944B-CC0C71FE2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87068" y="5478780"/>
          <a:ext cx="312420" cy="0"/>
        </a:xfrm>
        <a:prstGeom prst="rect">
          <a:avLst/>
        </a:prstGeom>
      </xdr:spPr>
    </xdr:pic>
    <xdr:clientData/>
  </xdr:twoCellAnchor>
  <xdr:twoCellAnchor>
    <xdr:from>
      <xdr:col>3</xdr:col>
      <xdr:colOff>129989</xdr:colOff>
      <xdr:row>4</xdr:row>
      <xdr:rowOff>0</xdr:rowOff>
    </xdr:from>
    <xdr:to>
      <xdr:col>3</xdr:col>
      <xdr:colOff>342649</xdr:colOff>
      <xdr:row>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69A4A5-842F-416B-89F1-6AEB0AB70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43549" y="1417320"/>
          <a:ext cx="21266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bbc832d3b26365f/2.%20Sunrack/2.%20Projects%20-%20International/Morocco/Magnelis%20Long%20Rail%20BOM%20-%202270%20Panels.xlsx" TargetMode="External"/><Relationship Id="rId1" Type="http://schemas.openxmlformats.org/officeDocument/2006/relationships/externalLinkPath" Target="/7bbc832d3b26365f/2.%20Sunrack/2.%20Projects%20-%20International/Morocco/Magnelis%20Long%20Rail%20BOM%20-%202270%20Pan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."/>
      <sheetName val="BOM"/>
    </sheetNames>
    <sheetDataSet>
      <sheetData sheetId="0">
        <row r="28">
          <cell r="E28">
            <v>2272</v>
          </cell>
          <cell r="F28">
            <v>3404</v>
          </cell>
          <cell r="I28">
            <v>2</v>
          </cell>
          <cell r="O28">
            <v>4542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1B1B-043D-475A-A8FB-CBB278A42F38}">
  <dimension ref="B2:H36"/>
  <sheetViews>
    <sheetView tabSelected="1" topLeftCell="A6" workbookViewId="0">
      <selection activeCell="D12" sqref="D12"/>
    </sheetView>
  </sheetViews>
  <sheetFormatPr defaultRowHeight="14.4" x14ac:dyDescent="0.3"/>
  <cols>
    <col min="1" max="1" width="8.88671875" style="2"/>
    <col min="2" max="2" width="6.33203125" style="1" customWidth="1"/>
    <col min="3" max="3" width="40.21875" style="2" customWidth="1"/>
    <col min="4" max="5" width="23.109375" style="1" customWidth="1"/>
    <col min="6" max="6" width="17.33203125" style="1" bestFit="1" customWidth="1"/>
    <col min="7" max="7" width="23.6640625" style="1" customWidth="1"/>
    <col min="8" max="16384" width="8.88671875" style="2"/>
  </cols>
  <sheetData>
    <row r="2" spans="2:8" ht="25.05" customHeight="1" x14ac:dyDescent="0.3">
      <c r="B2" s="24" t="s">
        <v>40</v>
      </c>
      <c r="C2" s="24"/>
      <c r="D2" s="24"/>
      <c r="E2" s="24"/>
      <c r="F2" s="24"/>
      <c r="G2" s="24"/>
    </row>
    <row r="3" spans="2:8" ht="25.05" customHeight="1" x14ac:dyDescent="0.3">
      <c r="B3" s="24" t="s">
        <v>0</v>
      </c>
      <c r="C3" s="24" t="s">
        <v>35</v>
      </c>
      <c r="D3" s="24" t="s">
        <v>1</v>
      </c>
      <c r="E3" s="24"/>
      <c r="F3" s="24"/>
      <c r="G3" s="24"/>
    </row>
    <row r="4" spans="2:8" ht="25.05" customHeight="1" x14ac:dyDescent="0.3">
      <c r="B4" s="24"/>
      <c r="C4" s="24"/>
      <c r="D4" s="7" t="s">
        <v>4</v>
      </c>
      <c r="E4" s="7" t="s">
        <v>5</v>
      </c>
      <c r="F4" s="7" t="s">
        <v>7</v>
      </c>
      <c r="G4" s="7" t="s">
        <v>38</v>
      </c>
      <c r="H4" s="1"/>
    </row>
    <row r="5" spans="2:8" ht="25.05" customHeight="1" x14ac:dyDescent="0.3">
      <c r="B5" s="3">
        <v>1</v>
      </c>
      <c r="C5" s="4" t="s">
        <v>3</v>
      </c>
      <c r="D5" s="3" t="s">
        <v>6</v>
      </c>
      <c r="E5" s="3" t="s">
        <v>2</v>
      </c>
      <c r="F5" s="3"/>
      <c r="G5" s="3" t="s">
        <v>39</v>
      </c>
    </row>
    <row r="6" spans="2:8" ht="25.05" customHeight="1" x14ac:dyDescent="0.3">
      <c r="B6" s="12">
        <v>2</v>
      </c>
      <c r="C6" s="15" t="s">
        <v>9</v>
      </c>
      <c r="D6" s="12" t="s">
        <v>6</v>
      </c>
      <c r="E6" s="12" t="s">
        <v>2</v>
      </c>
      <c r="F6" s="12" t="s">
        <v>8</v>
      </c>
      <c r="G6" s="12" t="s">
        <v>39</v>
      </c>
    </row>
    <row r="7" spans="2:8" ht="25.05" customHeight="1" x14ac:dyDescent="0.3">
      <c r="B7" s="8">
        <v>3</v>
      </c>
      <c r="C7" s="9" t="s">
        <v>10</v>
      </c>
      <c r="D7" s="8" t="s">
        <v>6</v>
      </c>
      <c r="E7" s="8" t="s">
        <v>2</v>
      </c>
      <c r="F7" s="8" t="s">
        <v>16</v>
      </c>
      <c r="G7" s="8" t="s">
        <v>34</v>
      </c>
    </row>
    <row r="8" spans="2:8" ht="25.05" customHeight="1" x14ac:dyDescent="0.3">
      <c r="B8" s="3">
        <v>4</v>
      </c>
      <c r="C8" s="4" t="s">
        <v>13</v>
      </c>
      <c r="D8" s="3" t="s">
        <v>12</v>
      </c>
      <c r="E8" s="3" t="s">
        <v>2</v>
      </c>
      <c r="F8" s="3"/>
      <c r="G8" s="3" t="s">
        <v>39</v>
      </c>
    </row>
    <row r="9" spans="2:8" ht="25.05" customHeight="1" x14ac:dyDescent="0.3">
      <c r="B9" s="12">
        <v>5</v>
      </c>
      <c r="C9" s="15" t="s">
        <v>14</v>
      </c>
      <c r="D9" s="12" t="s">
        <v>12</v>
      </c>
      <c r="E9" s="12" t="s">
        <v>2</v>
      </c>
      <c r="F9" s="12" t="s">
        <v>8</v>
      </c>
      <c r="G9" s="12" t="s">
        <v>39</v>
      </c>
    </row>
    <row r="10" spans="2:8" ht="25.05" customHeight="1" x14ac:dyDescent="0.3">
      <c r="B10" s="8">
        <v>6</v>
      </c>
      <c r="C10" s="9" t="s">
        <v>15</v>
      </c>
      <c r="D10" s="8" t="s">
        <v>12</v>
      </c>
      <c r="E10" s="8" t="s">
        <v>2</v>
      </c>
      <c r="F10" s="8" t="s">
        <v>11</v>
      </c>
      <c r="G10" s="8" t="s">
        <v>34</v>
      </c>
    </row>
    <row r="11" spans="2:8" ht="28.8" x14ac:dyDescent="0.3">
      <c r="B11" s="3">
        <v>7</v>
      </c>
      <c r="C11" s="4" t="s">
        <v>36</v>
      </c>
      <c r="D11" s="3" t="s">
        <v>6</v>
      </c>
      <c r="E11" s="5" t="s">
        <v>23</v>
      </c>
      <c r="F11" s="3"/>
      <c r="G11" s="3" t="s">
        <v>39</v>
      </c>
    </row>
    <row r="12" spans="2:8" ht="28.8" x14ac:dyDescent="0.3">
      <c r="B12" s="3">
        <v>8</v>
      </c>
      <c r="C12" s="4" t="s">
        <v>37</v>
      </c>
      <c r="D12" s="3" t="s">
        <v>12</v>
      </c>
      <c r="E12" s="5" t="s">
        <v>23</v>
      </c>
      <c r="F12" s="3"/>
      <c r="G12" s="3" t="s">
        <v>39</v>
      </c>
    </row>
    <row r="13" spans="2:8" ht="28.8" x14ac:dyDescent="0.3">
      <c r="B13" s="3">
        <v>9</v>
      </c>
      <c r="C13" s="6" t="s">
        <v>41</v>
      </c>
      <c r="D13" s="3" t="s">
        <v>32</v>
      </c>
      <c r="E13" s="5" t="s">
        <v>33</v>
      </c>
      <c r="F13" s="3"/>
      <c r="G13" s="3" t="s">
        <v>39</v>
      </c>
    </row>
    <row r="14" spans="2:8" ht="28.8" x14ac:dyDescent="0.3">
      <c r="B14" s="12">
        <v>10</v>
      </c>
      <c r="C14" s="13" t="s">
        <v>42</v>
      </c>
      <c r="D14" s="12" t="s">
        <v>32</v>
      </c>
      <c r="E14" s="14" t="s">
        <v>33</v>
      </c>
      <c r="F14" s="12" t="s">
        <v>8</v>
      </c>
      <c r="G14" s="12" t="s">
        <v>39</v>
      </c>
    </row>
    <row r="15" spans="2:8" ht="28.8" x14ac:dyDescent="0.3">
      <c r="B15" s="8">
        <v>11</v>
      </c>
      <c r="C15" s="10" t="s">
        <v>43</v>
      </c>
      <c r="D15" s="8" t="s">
        <v>32</v>
      </c>
      <c r="E15" s="11" t="s">
        <v>33</v>
      </c>
      <c r="F15" s="8" t="s">
        <v>16</v>
      </c>
      <c r="G15" s="8" t="s">
        <v>34</v>
      </c>
    </row>
    <row r="16" spans="2:8" ht="25.05" customHeight="1" x14ac:dyDescent="0.3">
      <c r="B16" s="3">
        <v>12</v>
      </c>
      <c r="C16" s="4" t="s">
        <v>17</v>
      </c>
      <c r="D16" s="3" t="s">
        <v>18</v>
      </c>
      <c r="E16" s="3" t="s">
        <v>19</v>
      </c>
      <c r="F16" s="3"/>
      <c r="G16" s="3" t="s">
        <v>39</v>
      </c>
    </row>
    <row r="17" spans="2:7" ht="25.05" customHeight="1" x14ac:dyDescent="0.3">
      <c r="B17" s="12">
        <v>13</v>
      </c>
      <c r="C17" s="15" t="s">
        <v>20</v>
      </c>
      <c r="D17" s="12" t="s">
        <v>18</v>
      </c>
      <c r="E17" s="12" t="s">
        <v>19</v>
      </c>
      <c r="F17" s="12" t="s">
        <v>8</v>
      </c>
      <c r="G17" s="12" t="s">
        <v>39</v>
      </c>
    </row>
    <row r="18" spans="2:7" ht="25.05" customHeight="1" x14ac:dyDescent="0.3">
      <c r="B18" s="8">
        <v>14</v>
      </c>
      <c r="C18" s="9" t="s">
        <v>21</v>
      </c>
      <c r="D18" s="8" t="s">
        <v>18</v>
      </c>
      <c r="E18" s="8" t="s">
        <v>19</v>
      </c>
      <c r="F18" s="8" t="s">
        <v>16</v>
      </c>
      <c r="G18" s="8" t="s">
        <v>34</v>
      </c>
    </row>
    <row r="19" spans="2:7" ht="25.05" customHeight="1" x14ac:dyDescent="0.3">
      <c r="B19" s="3">
        <v>15</v>
      </c>
      <c r="C19" s="4" t="s">
        <v>28</v>
      </c>
      <c r="D19" s="3" t="s">
        <v>18</v>
      </c>
      <c r="E19" s="3" t="s">
        <v>22</v>
      </c>
      <c r="F19" s="3"/>
      <c r="G19" s="3" t="s">
        <v>39</v>
      </c>
    </row>
    <row r="20" spans="2:7" ht="25.05" customHeight="1" x14ac:dyDescent="0.3">
      <c r="B20" s="12">
        <v>16</v>
      </c>
      <c r="C20" s="15" t="s">
        <v>20</v>
      </c>
      <c r="D20" s="12" t="s">
        <v>18</v>
      </c>
      <c r="E20" s="12" t="s">
        <v>22</v>
      </c>
      <c r="F20" s="12" t="s">
        <v>8</v>
      </c>
      <c r="G20" s="12" t="s">
        <v>39</v>
      </c>
    </row>
    <row r="21" spans="2:7" ht="25.05" customHeight="1" x14ac:dyDescent="0.3">
      <c r="B21" s="8">
        <v>17</v>
      </c>
      <c r="C21" s="9" t="s">
        <v>21</v>
      </c>
      <c r="D21" s="8" t="s">
        <v>18</v>
      </c>
      <c r="E21" s="8" t="s">
        <v>22</v>
      </c>
      <c r="F21" s="8" t="s">
        <v>16</v>
      </c>
      <c r="G21" s="8" t="s">
        <v>34</v>
      </c>
    </row>
    <row r="22" spans="2:7" ht="25.05" customHeight="1" x14ac:dyDescent="0.3">
      <c r="B22" s="3">
        <v>18</v>
      </c>
      <c r="C22" s="4" t="s">
        <v>24</v>
      </c>
      <c r="D22" s="3" t="s">
        <v>25</v>
      </c>
      <c r="E22" s="3" t="s">
        <v>19</v>
      </c>
      <c r="F22" s="3"/>
      <c r="G22" s="3" t="s">
        <v>39</v>
      </c>
    </row>
    <row r="23" spans="2:7" ht="25.05" customHeight="1" x14ac:dyDescent="0.3">
      <c r="B23" s="12">
        <v>19</v>
      </c>
      <c r="C23" s="15" t="s">
        <v>27</v>
      </c>
      <c r="D23" s="12" t="s">
        <v>25</v>
      </c>
      <c r="E23" s="12" t="s">
        <v>19</v>
      </c>
      <c r="F23" s="12" t="s">
        <v>8</v>
      </c>
      <c r="G23" s="12" t="s">
        <v>39</v>
      </c>
    </row>
    <row r="24" spans="2:7" ht="25.05" customHeight="1" x14ac:dyDescent="0.3">
      <c r="B24" s="8">
        <v>20</v>
      </c>
      <c r="C24" s="9" t="s">
        <v>26</v>
      </c>
      <c r="D24" s="8" t="s">
        <v>25</v>
      </c>
      <c r="E24" s="8" t="s">
        <v>19</v>
      </c>
      <c r="F24" s="8" t="s">
        <v>16</v>
      </c>
      <c r="G24" s="8" t="s">
        <v>34</v>
      </c>
    </row>
    <row r="25" spans="2:7" ht="25.05" customHeight="1" x14ac:dyDescent="0.3">
      <c r="B25" s="3">
        <v>21</v>
      </c>
      <c r="C25" s="4" t="s">
        <v>29</v>
      </c>
      <c r="D25" s="3" t="s">
        <v>25</v>
      </c>
      <c r="E25" s="3" t="s">
        <v>22</v>
      </c>
      <c r="F25" s="3"/>
      <c r="G25" s="3" t="s">
        <v>39</v>
      </c>
    </row>
    <row r="26" spans="2:7" ht="25.05" customHeight="1" x14ac:dyDescent="0.3">
      <c r="B26" s="12">
        <v>22</v>
      </c>
      <c r="C26" s="15" t="s">
        <v>30</v>
      </c>
      <c r="D26" s="12" t="s">
        <v>25</v>
      </c>
      <c r="E26" s="12" t="s">
        <v>22</v>
      </c>
      <c r="F26" s="12" t="s">
        <v>8</v>
      </c>
      <c r="G26" s="12" t="s">
        <v>39</v>
      </c>
    </row>
    <row r="27" spans="2:7" ht="25.05" customHeight="1" x14ac:dyDescent="0.3">
      <c r="B27" s="8">
        <v>23</v>
      </c>
      <c r="C27" s="9" t="s">
        <v>31</v>
      </c>
      <c r="D27" s="8" t="s">
        <v>25</v>
      </c>
      <c r="E27" s="8" t="s">
        <v>22</v>
      </c>
      <c r="F27" s="8" t="s">
        <v>16</v>
      </c>
      <c r="G27" s="8" t="s">
        <v>34</v>
      </c>
    </row>
    <row r="28" spans="2:7" ht="25.05" customHeight="1" x14ac:dyDescent="0.3"/>
    <row r="29" spans="2:7" ht="25.05" customHeight="1" x14ac:dyDescent="0.3"/>
    <row r="30" spans="2:7" ht="25.05" customHeight="1" x14ac:dyDescent="0.3"/>
    <row r="31" spans="2:7" ht="25.05" customHeight="1" x14ac:dyDescent="0.3"/>
    <row r="32" spans="2:7" ht="25.05" customHeight="1" x14ac:dyDescent="0.3"/>
    <row r="33" ht="25.05" customHeight="1" x14ac:dyDescent="0.3"/>
    <row r="34" ht="25.05" customHeight="1" x14ac:dyDescent="0.3"/>
    <row r="35" ht="25.05" customHeight="1" x14ac:dyDescent="0.3"/>
    <row r="36" ht="25.05" customHeight="1" x14ac:dyDescent="0.3"/>
  </sheetData>
  <mergeCells count="4">
    <mergeCell ref="C3:C4"/>
    <mergeCell ref="B3:B4"/>
    <mergeCell ref="D3:G3"/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6D98-D5F1-477E-B571-230DE2A6BA15}">
  <dimension ref="B2:J18"/>
  <sheetViews>
    <sheetView zoomScale="115" zoomScaleNormal="115" workbookViewId="0">
      <selection activeCell="E20" sqref="E20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7.664062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4" t="s">
        <v>3</v>
      </c>
      <c r="C2" s="24"/>
      <c r="D2" s="24"/>
      <c r="E2" s="24"/>
      <c r="F2" s="24"/>
      <c r="G2" s="24"/>
      <c r="H2" s="24"/>
      <c r="I2" s="24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3" t="s">
        <v>50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75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54</v>
      </c>
      <c r="D6" s="3"/>
      <c r="E6" s="19" t="s">
        <v>55</v>
      </c>
      <c r="F6" s="5" t="s">
        <v>51</v>
      </c>
      <c r="G6" s="3">
        <v>150</v>
      </c>
      <c r="H6" s="3" t="s">
        <v>52</v>
      </c>
      <c r="I6" s="21" t="s">
        <v>70</v>
      </c>
    </row>
    <row r="7" spans="2:10" ht="19.95" customHeight="1" x14ac:dyDescent="0.3">
      <c r="B7" s="3">
        <v>4</v>
      </c>
      <c r="C7" s="12" t="s">
        <v>56</v>
      </c>
      <c r="D7" s="12"/>
      <c r="E7" s="15" t="s">
        <v>57</v>
      </c>
      <c r="F7" s="5" t="s">
        <v>51</v>
      </c>
      <c r="G7" s="3">
        <v>50</v>
      </c>
      <c r="H7" s="3" t="s">
        <v>52</v>
      </c>
      <c r="I7" s="21" t="s">
        <v>71</v>
      </c>
    </row>
    <row r="8" spans="2:10" ht="19.95" customHeight="1" x14ac:dyDescent="0.3">
      <c r="B8" s="3">
        <v>5</v>
      </c>
      <c r="C8" s="12" t="s">
        <v>58</v>
      </c>
      <c r="D8" s="12"/>
      <c r="E8" s="15" t="s">
        <v>59</v>
      </c>
      <c r="F8" s="5" t="s">
        <v>51</v>
      </c>
      <c r="G8" s="3">
        <v>50</v>
      </c>
      <c r="H8" s="3" t="s">
        <v>52</v>
      </c>
      <c r="I8" s="21" t="s">
        <v>72</v>
      </c>
    </row>
    <row r="9" spans="2:10" ht="19.95" customHeight="1" x14ac:dyDescent="0.3">
      <c r="B9" s="3">
        <v>6</v>
      </c>
      <c r="C9" s="3" t="s">
        <v>60</v>
      </c>
      <c r="D9" s="3"/>
      <c r="E9" s="19" t="s">
        <v>61</v>
      </c>
      <c r="F9" s="5" t="s">
        <v>51</v>
      </c>
      <c r="G9" s="3">
        <v>19</v>
      </c>
      <c r="H9" s="3" t="s">
        <v>52</v>
      </c>
      <c r="I9" s="3" t="s">
        <v>73</v>
      </c>
    </row>
    <row r="10" spans="2:10" ht="19.95" customHeight="1" x14ac:dyDescent="0.3">
      <c r="B10" s="3">
        <v>7</v>
      </c>
      <c r="C10" s="3"/>
      <c r="D10" s="3"/>
      <c r="E10" s="19" t="s">
        <v>78</v>
      </c>
      <c r="F10" s="3" t="s">
        <v>62</v>
      </c>
      <c r="G10" s="3">
        <v>65</v>
      </c>
      <c r="H10" s="3" t="s">
        <v>52</v>
      </c>
      <c r="I10" s="3" t="s">
        <v>74</v>
      </c>
    </row>
    <row r="11" spans="2:10" ht="19.95" customHeight="1" x14ac:dyDescent="0.3">
      <c r="B11" s="3">
        <v>8</v>
      </c>
      <c r="C11" s="3"/>
      <c r="D11" s="3"/>
      <c r="E11" s="19" t="s">
        <v>79</v>
      </c>
      <c r="F11" s="3" t="s">
        <v>62</v>
      </c>
      <c r="G11" s="12">
        <v>20</v>
      </c>
      <c r="H11" s="3" t="s">
        <v>52</v>
      </c>
      <c r="I11" s="3" t="s">
        <v>76</v>
      </c>
    </row>
    <row r="12" spans="2:10" ht="19.95" customHeight="1" x14ac:dyDescent="0.3">
      <c r="B12" s="3">
        <v>9</v>
      </c>
      <c r="C12" s="3"/>
      <c r="D12" s="3"/>
      <c r="E12" s="19" t="s">
        <v>80</v>
      </c>
      <c r="F12" s="3" t="s">
        <v>62</v>
      </c>
      <c r="G12" s="12">
        <v>25</v>
      </c>
      <c r="H12" s="3" t="s">
        <v>52</v>
      </c>
      <c r="I12" s="3" t="s">
        <v>77</v>
      </c>
    </row>
    <row r="13" spans="2:10" ht="19.95" customHeight="1" x14ac:dyDescent="0.3">
      <c r="B13" s="3">
        <v>10</v>
      </c>
      <c r="C13" s="3"/>
      <c r="D13" s="3"/>
      <c r="E13" s="19" t="s">
        <v>84</v>
      </c>
      <c r="F13" s="3" t="s">
        <v>63</v>
      </c>
      <c r="G13" s="3"/>
      <c r="H13" s="3" t="s">
        <v>52</v>
      </c>
      <c r="I13" s="3" t="s">
        <v>81</v>
      </c>
    </row>
    <row r="14" spans="2:10" ht="19.95" customHeight="1" x14ac:dyDescent="0.3">
      <c r="B14" s="3">
        <v>11</v>
      </c>
      <c r="C14" s="3"/>
      <c r="D14" s="3"/>
      <c r="E14" s="19" t="s">
        <v>85</v>
      </c>
      <c r="F14" s="3" t="s">
        <v>63</v>
      </c>
      <c r="G14" s="3"/>
      <c r="H14" s="3" t="s">
        <v>52</v>
      </c>
      <c r="I14" s="3" t="s">
        <v>82</v>
      </c>
    </row>
    <row r="15" spans="2:10" ht="19.95" customHeight="1" x14ac:dyDescent="0.3">
      <c r="B15" s="3">
        <v>12</v>
      </c>
      <c r="C15" s="3"/>
      <c r="D15" s="3"/>
      <c r="E15" s="19" t="s">
        <v>86</v>
      </c>
      <c r="F15" s="3" t="s">
        <v>63</v>
      </c>
      <c r="G15" s="3"/>
      <c r="H15" s="3" t="s">
        <v>52</v>
      </c>
      <c r="I15" s="3" t="s">
        <v>83</v>
      </c>
    </row>
    <row r="16" spans="2:10" ht="19.95" customHeight="1" x14ac:dyDescent="0.3">
      <c r="B16" s="3">
        <v>13</v>
      </c>
      <c r="C16" s="3"/>
      <c r="D16" s="3"/>
      <c r="E16" s="19" t="s">
        <v>64</v>
      </c>
      <c r="F16" s="3" t="s">
        <v>65</v>
      </c>
      <c r="G16" s="3"/>
      <c r="H16" s="3" t="s">
        <v>52</v>
      </c>
      <c r="I16" s="3" t="s">
        <v>74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48F9-3180-4D1D-82B1-9FEE7B4DA18D}">
  <dimension ref="B2:J17"/>
  <sheetViews>
    <sheetView zoomScale="115" zoomScaleNormal="115" workbookViewId="0">
      <selection activeCell="C6" sqref="C6:G6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7.664062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4" t="s">
        <v>9</v>
      </c>
      <c r="C2" s="24"/>
      <c r="D2" s="24"/>
      <c r="E2" s="24"/>
      <c r="F2" s="24"/>
      <c r="G2" s="24"/>
      <c r="H2" s="24"/>
      <c r="I2" s="24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3" t="s">
        <v>50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90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89</v>
      </c>
      <c r="D6" s="3"/>
      <c r="E6" s="19" t="s">
        <v>88</v>
      </c>
      <c r="F6" s="5" t="s">
        <v>51</v>
      </c>
      <c r="G6" s="3">
        <v>40</v>
      </c>
      <c r="H6" s="3" t="s">
        <v>52</v>
      </c>
      <c r="I6" s="3" t="s">
        <v>74</v>
      </c>
    </row>
    <row r="7" spans="2:10" ht="19.95" customHeight="1" x14ac:dyDescent="0.3">
      <c r="B7" s="3">
        <v>4</v>
      </c>
      <c r="C7" s="3" t="s">
        <v>54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65</v>
      </c>
      <c r="H11" s="3" t="s">
        <v>52</v>
      </c>
      <c r="I11" s="3" t="s">
        <v>74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84</v>
      </c>
      <c r="F14" s="3" t="s">
        <v>63</v>
      </c>
      <c r="G14" s="3"/>
      <c r="H14" s="3" t="s">
        <v>52</v>
      </c>
      <c r="I14" s="3" t="s">
        <v>81</v>
      </c>
    </row>
    <row r="15" spans="2:10" ht="19.95" customHeight="1" x14ac:dyDescent="0.3">
      <c r="B15" s="3">
        <v>12</v>
      </c>
      <c r="C15" s="3"/>
      <c r="D15" s="3"/>
      <c r="E15" s="19" t="s">
        <v>64</v>
      </c>
      <c r="F15" s="3" t="s">
        <v>65</v>
      </c>
      <c r="G15" s="3"/>
      <c r="H15" s="3" t="s">
        <v>52</v>
      </c>
      <c r="I15" s="3" t="s">
        <v>74</v>
      </c>
    </row>
    <row r="16" spans="2:10" ht="19.95" customHeight="1" x14ac:dyDescent="0.3">
      <c r="B16" s="2"/>
      <c r="C16" s="2"/>
      <c r="D16" s="2"/>
      <c r="E16" s="2"/>
      <c r="F16" s="2"/>
      <c r="G16" s="2"/>
      <c r="H16" s="2"/>
    </row>
    <row r="17" spans="2:8" ht="18" customHeight="1" x14ac:dyDescent="0.3">
      <c r="B17" s="20"/>
      <c r="C17" s="20"/>
      <c r="D17" s="20"/>
      <c r="E17" s="20"/>
      <c r="F17" s="20"/>
      <c r="G17" s="20"/>
      <c r="H17" s="20"/>
    </row>
  </sheetData>
  <mergeCells count="1">
    <mergeCell ref="B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F748-9F78-4037-90F8-1DE618FE5902}">
  <dimension ref="B2:J18"/>
  <sheetViews>
    <sheetView zoomScale="115" zoomScaleNormal="115" workbookViewId="0">
      <selection activeCell="A17" sqref="A17:XFD17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9.2187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4" t="s">
        <v>10</v>
      </c>
      <c r="C2" s="24"/>
      <c r="D2" s="24"/>
      <c r="E2" s="24"/>
      <c r="F2" s="24"/>
      <c r="G2" s="24"/>
      <c r="H2" s="24"/>
      <c r="I2" s="24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3" t="s">
        <v>50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90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91</v>
      </c>
      <c r="D6" s="3"/>
      <c r="E6" s="19" t="s">
        <v>95</v>
      </c>
      <c r="F6" s="5" t="s">
        <v>51</v>
      </c>
      <c r="G6" s="3">
        <v>40</v>
      </c>
      <c r="H6" s="3" t="s">
        <v>52</v>
      </c>
      <c r="I6" s="3" t="s">
        <v>74</v>
      </c>
    </row>
    <row r="7" spans="2:10" ht="19.95" customHeight="1" x14ac:dyDescent="0.3">
      <c r="B7" s="3">
        <v>4</v>
      </c>
      <c r="C7" s="3" t="s">
        <v>54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65</v>
      </c>
      <c r="H11" s="3" t="s">
        <v>52</v>
      </c>
      <c r="I11" s="3" t="s">
        <v>74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92</v>
      </c>
      <c r="F14" s="3" t="s">
        <v>62</v>
      </c>
      <c r="G14" s="8">
        <v>16</v>
      </c>
      <c r="H14" s="3" t="s">
        <v>52</v>
      </c>
      <c r="I14" s="3" t="s">
        <v>96</v>
      </c>
    </row>
    <row r="15" spans="2:10" ht="19.95" customHeight="1" x14ac:dyDescent="0.3">
      <c r="B15" s="3">
        <v>12</v>
      </c>
      <c r="C15" s="3"/>
      <c r="D15" s="3"/>
      <c r="E15" s="9" t="s">
        <v>93</v>
      </c>
      <c r="F15" s="3" t="s">
        <v>62</v>
      </c>
      <c r="G15" s="8">
        <v>20</v>
      </c>
      <c r="H15" s="3" t="s">
        <v>52</v>
      </c>
      <c r="I15" s="3" t="s">
        <v>94</v>
      </c>
    </row>
    <row r="16" spans="2:10" ht="19.95" customHeight="1" x14ac:dyDescent="0.3">
      <c r="B16" s="3">
        <v>13</v>
      </c>
      <c r="C16" s="3"/>
      <c r="D16" s="3"/>
      <c r="E16" s="19" t="s">
        <v>84</v>
      </c>
      <c r="F16" s="3" t="s">
        <v>63</v>
      </c>
      <c r="G16" s="3"/>
      <c r="H16" s="3" t="s">
        <v>52</v>
      </c>
      <c r="I16" s="3" t="s">
        <v>81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89AA-D227-403A-B558-9BDFC4002398}">
  <dimension ref="B2:J18"/>
  <sheetViews>
    <sheetView workbookViewId="0">
      <selection activeCell="E15" sqref="E15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7.664062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4" t="s">
        <v>13</v>
      </c>
      <c r="C2" s="24"/>
      <c r="D2" s="24"/>
      <c r="E2" s="24"/>
      <c r="F2" s="24"/>
      <c r="G2" s="24"/>
      <c r="H2" s="24"/>
      <c r="I2" s="24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23" t="s">
        <v>97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75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23" t="s">
        <v>103</v>
      </c>
      <c r="D6" s="3"/>
      <c r="E6" s="19" t="s">
        <v>55</v>
      </c>
      <c r="F6" s="5" t="s">
        <v>51</v>
      </c>
      <c r="G6" s="3">
        <v>150</v>
      </c>
      <c r="H6" s="3" t="s">
        <v>52</v>
      </c>
      <c r="I6" s="21" t="s">
        <v>70</v>
      </c>
    </row>
    <row r="7" spans="2:10" ht="19.95" customHeight="1" x14ac:dyDescent="0.3">
      <c r="B7" s="3">
        <v>4</v>
      </c>
      <c r="C7" s="12" t="s">
        <v>56</v>
      </c>
      <c r="D7" s="12"/>
      <c r="E7" s="15" t="s">
        <v>57</v>
      </c>
      <c r="F7" s="5" t="s">
        <v>51</v>
      </c>
      <c r="G7" s="3">
        <v>50</v>
      </c>
      <c r="H7" s="3" t="s">
        <v>52</v>
      </c>
      <c r="I7" s="21" t="s">
        <v>71</v>
      </c>
    </row>
    <row r="8" spans="2:10" ht="19.95" customHeight="1" x14ac:dyDescent="0.3">
      <c r="B8" s="3">
        <v>5</v>
      </c>
      <c r="C8" s="12" t="s">
        <v>58</v>
      </c>
      <c r="D8" s="12"/>
      <c r="E8" s="15" t="s">
        <v>59</v>
      </c>
      <c r="F8" s="5" t="s">
        <v>51</v>
      </c>
      <c r="G8" s="3">
        <v>50</v>
      </c>
      <c r="H8" s="3" t="s">
        <v>52</v>
      </c>
      <c r="I8" s="21" t="s">
        <v>72</v>
      </c>
    </row>
    <row r="9" spans="2:10" ht="19.95" customHeight="1" x14ac:dyDescent="0.3">
      <c r="B9" s="3">
        <v>6</v>
      </c>
      <c r="C9" s="3" t="s">
        <v>60</v>
      </c>
      <c r="D9" s="3"/>
      <c r="E9" s="19" t="s">
        <v>61</v>
      </c>
      <c r="F9" s="5" t="s">
        <v>51</v>
      </c>
      <c r="G9" s="3">
        <v>19</v>
      </c>
      <c r="H9" s="3" t="s">
        <v>52</v>
      </c>
      <c r="I9" s="3" t="s">
        <v>73</v>
      </c>
    </row>
    <row r="10" spans="2:10" ht="19.95" customHeight="1" x14ac:dyDescent="0.3">
      <c r="B10" s="3">
        <v>7</v>
      </c>
      <c r="C10" s="3"/>
      <c r="D10" s="3"/>
      <c r="E10" s="19" t="s">
        <v>78</v>
      </c>
      <c r="F10" s="3" t="s">
        <v>62</v>
      </c>
      <c r="G10" s="3">
        <v>65</v>
      </c>
      <c r="H10" s="3" t="s">
        <v>52</v>
      </c>
      <c r="I10" s="3" t="s">
        <v>74</v>
      </c>
    </row>
    <row r="11" spans="2:10" ht="19.95" customHeight="1" x14ac:dyDescent="0.3">
      <c r="B11" s="3">
        <v>8</v>
      </c>
      <c r="C11" s="3"/>
      <c r="D11" s="3"/>
      <c r="E11" s="19" t="s">
        <v>79</v>
      </c>
      <c r="F11" s="3" t="s">
        <v>62</v>
      </c>
      <c r="G11" s="12">
        <v>20</v>
      </c>
      <c r="H11" s="3" t="s">
        <v>52</v>
      </c>
      <c r="I11" s="3" t="s">
        <v>76</v>
      </c>
    </row>
    <row r="12" spans="2:10" ht="19.95" customHeight="1" x14ac:dyDescent="0.3">
      <c r="B12" s="3">
        <v>9</v>
      </c>
      <c r="C12" s="3"/>
      <c r="D12" s="3"/>
      <c r="E12" s="19" t="s">
        <v>80</v>
      </c>
      <c r="F12" s="3" t="s">
        <v>62</v>
      </c>
      <c r="G12" s="12">
        <v>25</v>
      </c>
      <c r="H12" s="3" t="s">
        <v>52</v>
      </c>
      <c r="I12" s="3" t="s">
        <v>77</v>
      </c>
    </row>
    <row r="13" spans="2:10" ht="19.95" customHeight="1" x14ac:dyDescent="0.3">
      <c r="B13" s="3">
        <v>10</v>
      </c>
      <c r="C13" s="3"/>
      <c r="D13" s="3"/>
      <c r="E13" s="19" t="s">
        <v>84</v>
      </c>
      <c r="F13" s="3" t="s">
        <v>63</v>
      </c>
      <c r="G13" s="3"/>
      <c r="H13" s="3" t="s">
        <v>52</v>
      </c>
      <c r="I13" s="3" t="s">
        <v>81</v>
      </c>
    </row>
    <row r="14" spans="2:10" ht="19.95" customHeight="1" x14ac:dyDescent="0.3">
      <c r="B14" s="3">
        <v>11</v>
      </c>
      <c r="C14" s="3"/>
      <c r="D14" s="3"/>
      <c r="E14" s="19" t="s">
        <v>85</v>
      </c>
      <c r="F14" s="3" t="s">
        <v>63</v>
      </c>
      <c r="G14" s="3"/>
      <c r="H14" s="3" t="s">
        <v>52</v>
      </c>
      <c r="I14" s="3" t="s">
        <v>82</v>
      </c>
    </row>
    <row r="15" spans="2:10" ht="19.95" customHeight="1" x14ac:dyDescent="0.3">
      <c r="B15" s="3">
        <v>12</v>
      </c>
      <c r="C15" s="3"/>
      <c r="D15" s="3"/>
      <c r="E15" s="19" t="s">
        <v>86</v>
      </c>
      <c r="F15" s="3" t="s">
        <v>63</v>
      </c>
      <c r="G15" s="3"/>
      <c r="H15" s="3" t="s">
        <v>52</v>
      </c>
      <c r="I15" s="3" t="s">
        <v>83</v>
      </c>
    </row>
    <row r="16" spans="2:10" ht="19.95" customHeight="1" x14ac:dyDescent="0.3">
      <c r="B16" s="3">
        <v>13</v>
      </c>
      <c r="C16" s="3"/>
      <c r="D16" s="3"/>
      <c r="E16" s="19" t="s">
        <v>64</v>
      </c>
      <c r="F16" s="3" t="s">
        <v>65</v>
      </c>
      <c r="G16" s="3"/>
      <c r="H16" s="3" t="s">
        <v>52</v>
      </c>
      <c r="I16" s="3" t="s">
        <v>74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F1-850B-4E22-9524-30422CE5C740}">
  <dimension ref="B2:J17"/>
  <sheetViews>
    <sheetView workbookViewId="0">
      <selection activeCell="C4" sqref="C4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7.664062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4" t="s">
        <v>14</v>
      </c>
      <c r="C2" s="24"/>
      <c r="D2" s="24"/>
      <c r="E2" s="24"/>
      <c r="F2" s="24"/>
      <c r="G2" s="24"/>
      <c r="H2" s="24"/>
      <c r="I2" s="24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23" t="s">
        <v>97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90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89</v>
      </c>
      <c r="D6" s="3"/>
      <c r="E6" s="19" t="s">
        <v>88</v>
      </c>
      <c r="F6" s="5" t="s">
        <v>51</v>
      </c>
      <c r="G6" s="3">
        <v>40</v>
      </c>
      <c r="H6" s="3" t="s">
        <v>52</v>
      </c>
      <c r="I6" s="3" t="s">
        <v>74</v>
      </c>
    </row>
    <row r="7" spans="2:10" ht="19.95" customHeight="1" x14ac:dyDescent="0.3">
      <c r="B7" s="3">
        <v>4</v>
      </c>
      <c r="C7" s="23" t="s">
        <v>103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65</v>
      </c>
      <c r="H11" s="3" t="s">
        <v>52</v>
      </c>
      <c r="I11" s="3" t="s">
        <v>74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84</v>
      </c>
      <c r="F14" s="3" t="s">
        <v>63</v>
      </c>
      <c r="G14" s="3"/>
      <c r="H14" s="3" t="s">
        <v>52</v>
      </c>
      <c r="I14" s="3" t="s">
        <v>81</v>
      </c>
    </row>
    <row r="15" spans="2:10" ht="19.95" customHeight="1" x14ac:dyDescent="0.3">
      <c r="B15" s="3">
        <v>12</v>
      </c>
      <c r="C15" s="3"/>
      <c r="D15" s="3"/>
      <c r="E15" s="19" t="s">
        <v>64</v>
      </c>
      <c r="F15" s="3" t="s">
        <v>65</v>
      </c>
      <c r="G15" s="3"/>
      <c r="H15" s="3" t="s">
        <v>52</v>
      </c>
      <c r="I15" s="3" t="s">
        <v>74</v>
      </c>
    </row>
    <row r="16" spans="2:10" ht="19.95" customHeight="1" x14ac:dyDescent="0.3">
      <c r="B16" s="2"/>
      <c r="C16" s="2"/>
      <c r="D16" s="2"/>
      <c r="E16" s="2"/>
      <c r="F16" s="2"/>
      <c r="G16" s="2"/>
      <c r="H16" s="2"/>
    </row>
    <row r="17" spans="2:8" ht="18" customHeight="1" x14ac:dyDescent="0.3">
      <c r="B17" s="20"/>
      <c r="C17" s="20"/>
      <c r="D17" s="20"/>
      <c r="E17" s="20"/>
      <c r="F17" s="20"/>
      <c r="G17" s="20"/>
      <c r="H17" s="20"/>
    </row>
  </sheetData>
  <mergeCells count="1">
    <mergeCell ref="B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A7023-D1C7-4A32-BB5E-BD91D513E6F1}">
  <dimension ref="B2:J18"/>
  <sheetViews>
    <sheetView workbookViewId="0">
      <selection activeCell="E21" sqref="E21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41.21875" bestFit="1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4" t="s">
        <v>15</v>
      </c>
      <c r="C2" s="24"/>
      <c r="D2" s="24"/>
      <c r="E2" s="24"/>
      <c r="F2" s="24"/>
      <c r="G2" s="24"/>
      <c r="H2" s="24"/>
      <c r="I2" s="24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23" t="s">
        <v>53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53</v>
      </c>
      <c r="D5" s="3"/>
      <c r="E5" s="19" t="s">
        <v>90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91</v>
      </c>
      <c r="D6" s="3"/>
      <c r="E6" s="19" t="s">
        <v>95</v>
      </c>
      <c r="F6" s="5" t="s">
        <v>51</v>
      </c>
      <c r="G6" s="3">
        <v>40</v>
      </c>
      <c r="H6" s="3" t="s">
        <v>52</v>
      </c>
      <c r="I6" s="3" t="s">
        <v>74</v>
      </c>
    </row>
    <row r="7" spans="2:10" ht="19.95" customHeight="1" x14ac:dyDescent="0.3">
      <c r="B7" s="3">
        <v>4</v>
      </c>
      <c r="C7" s="23" t="s">
        <v>103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65</v>
      </c>
      <c r="H11" s="3" t="s">
        <v>52</v>
      </c>
      <c r="I11" s="3" t="s">
        <v>74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92</v>
      </c>
      <c r="F14" s="3" t="s">
        <v>62</v>
      </c>
      <c r="G14" s="8">
        <v>16</v>
      </c>
      <c r="H14" s="3" t="s">
        <v>52</v>
      </c>
      <c r="I14" s="3" t="s">
        <v>96</v>
      </c>
    </row>
    <row r="15" spans="2:10" ht="19.95" customHeight="1" x14ac:dyDescent="0.3">
      <c r="B15" s="3">
        <v>12</v>
      </c>
      <c r="C15" s="3"/>
      <c r="D15" s="3"/>
      <c r="E15" s="9" t="s">
        <v>93</v>
      </c>
      <c r="F15" s="3" t="s">
        <v>62</v>
      </c>
      <c r="G15" s="8">
        <v>20</v>
      </c>
      <c r="H15" s="3" t="s">
        <v>52</v>
      </c>
      <c r="I15" s="3" t="s">
        <v>94</v>
      </c>
    </row>
    <row r="16" spans="2:10" ht="19.95" customHeight="1" x14ac:dyDescent="0.3">
      <c r="B16" s="3">
        <v>13</v>
      </c>
      <c r="C16" s="3"/>
      <c r="D16" s="3"/>
      <c r="E16" s="19" t="s">
        <v>84</v>
      </c>
      <c r="F16" s="3" t="s">
        <v>63</v>
      </c>
      <c r="G16" s="3"/>
      <c r="H16" s="3" t="s">
        <v>52</v>
      </c>
      <c r="I16" s="3" t="s">
        <v>81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7F85-AF03-4CCA-AA3D-FFEA2C3ACAB9}">
  <dimension ref="B2:J18"/>
  <sheetViews>
    <sheetView zoomScaleNormal="100" workbookViewId="0">
      <selection activeCell="E25" sqref="E25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8.554687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4" t="s">
        <v>36</v>
      </c>
      <c r="C2" s="24"/>
      <c r="D2" s="24"/>
      <c r="E2" s="24"/>
      <c r="F2" s="24"/>
      <c r="G2" s="24"/>
      <c r="H2" s="24"/>
      <c r="I2" s="24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3" t="s">
        <v>101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100</v>
      </c>
      <c r="D5" s="3"/>
      <c r="E5" s="19" t="s">
        <v>99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102</v>
      </c>
      <c r="D6" s="3"/>
      <c r="E6" s="19" t="s">
        <v>98</v>
      </c>
      <c r="F6" s="5" t="s">
        <v>51</v>
      </c>
      <c r="G6" s="3">
        <v>40</v>
      </c>
      <c r="H6" s="3" t="s">
        <v>52</v>
      </c>
      <c r="I6" s="3" t="s">
        <v>104</v>
      </c>
    </row>
    <row r="7" spans="2:10" ht="19.95" customHeight="1" x14ac:dyDescent="0.3">
      <c r="B7" s="3">
        <v>4</v>
      </c>
      <c r="C7" s="3" t="s">
        <v>54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60</v>
      </c>
      <c r="H11" s="3" t="s">
        <v>52</v>
      </c>
      <c r="I11" s="3" t="s">
        <v>104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84</v>
      </c>
      <c r="F14" s="3" t="s">
        <v>63</v>
      </c>
      <c r="G14" s="3"/>
      <c r="H14" s="3" t="s">
        <v>52</v>
      </c>
      <c r="I14" s="3" t="s">
        <v>81</v>
      </c>
    </row>
    <row r="15" spans="2:10" ht="19.95" customHeight="1" x14ac:dyDescent="0.3">
      <c r="B15" s="3">
        <v>12</v>
      </c>
      <c r="C15" s="3"/>
      <c r="D15" s="3"/>
      <c r="E15" s="19" t="s">
        <v>105</v>
      </c>
      <c r="F15" s="3" t="s">
        <v>63</v>
      </c>
      <c r="G15" s="3"/>
      <c r="H15" s="3" t="s">
        <v>52</v>
      </c>
      <c r="I15" s="3" t="s">
        <v>104</v>
      </c>
    </row>
    <row r="16" spans="2:10" ht="19.95" customHeight="1" x14ac:dyDescent="0.3">
      <c r="B16" s="3">
        <v>13</v>
      </c>
      <c r="C16" s="3"/>
      <c r="D16" s="3"/>
      <c r="E16" s="19" t="s">
        <v>64</v>
      </c>
      <c r="F16" s="3" t="s">
        <v>65</v>
      </c>
      <c r="G16" s="3"/>
      <c r="H16" s="3" t="s">
        <v>52</v>
      </c>
      <c r="I16" s="3" t="s">
        <v>104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5ABE-2525-4E11-9185-489922C3DFEE}">
  <dimension ref="B2:J18"/>
  <sheetViews>
    <sheetView workbookViewId="0">
      <selection activeCell="E14" sqref="E14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9.44140625" bestFit="1" customWidth="1"/>
    <col min="4" max="4" width="7.33203125" customWidth="1"/>
    <col min="5" max="5" width="38.5546875" customWidth="1"/>
    <col min="6" max="6" width="10.109375" customWidth="1"/>
    <col min="7" max="7" width="19.33203125" bestFit="1" customWidth="1"/>
    <col min="8" max="8" width="7.44140625" customWidth="1"/>
    <col min="9" max="9" width="46.33203125" customWidth="1"/>
    <col min="10" max="10" width="12.33203125" bestFit="1" customWidth="1"/>
    <col min="11" max="11" width="8.33203125" customWidth="1"/>
    <col min="12" max="12" width="8.6640625" bestFit="1" customWidth="1"/>
  </cols>
  <sheetData>
    <row r="2" spans="2:10" ht="19.95" customHeight="1" x14ac:dyDescent="0.3">
      <c r="B2" s="24" t="s">
        <v>37</v>
      </c>
      <c r="C2" s="24"/>
      <c r="D2" s="24"/>
      <c r="E2" s="24"/>
      <c r="F2" s="24"/>
      <c r="G2" s="24"/>
      <c r="H2" s="24"/>
      <c r="I2" s="24"/>
    </row>
    <row r="3" spans="2:10" ht="30.6" customHeight="1" x14ac:dyDescent="0.3">
      <c r="B3" s="7" t="s">
        <v>0</v>
      </c>
      <c r="C3" s="16" t="s">
        <v>44</v>
      </c>
      <c r="D3" s="16" t="s">
        <v>66</v>
      </c>
      <c r="E3" s="7" t="s">
        <v>45</v>
      </c>
      <c r="F3" s="7" t="s">
        <v>46</v>
      </c>
      <c r="G3" s="16" t="s">
        <v>47</v>
      </c>
      <c r="H3" s="7" t="s">
        <v>48</v>
      </c>
      <c r="I3" s="7" t="s">
        <v>49</v>
      </c>
    </row>
    <row r="4" spans="2:10" ht="28.8" x14ac:dyDescent="0.3">
      <c r="B4" s="3">
        <v>1</v>
      </c>
      <c r="C4" s="23" t="s">
        <v>97</v>
      </c>
      <c r="D4" s="3"/>
      <c r="E4" s="17" t="s">
        <v>68</v>
      </c>
      <c r="F4" s="5" t="s">
        <v>51</v>
      </c>
      <c r="G4" s="22" t="s">
        <v>87</v>
      </c>
      <c r="H4" s="3" t="s">
        <v>52</v>
      </c>
      <c r="I4" s="3" t="s">
        <v>67</v>
      </c>
      <c r="J4" s="18"/>
    </row>
    <row r="5" spans="2:10" ht="19.95" customHeight="1" x14ac:dyDescent="0.3">
      <c r="B5" s="3">
        <v>2</v>
      </c>
      <c r="C5" s="3" t="s">
        <v>100</v>
      </c>
      <c r="D5" s="3"/>
      <c r="E5" s="19" t="s">
        <v>99</v>
      </c>
      <c r="F5" s="5" t="s">
        <v>51</v>
      </c>
      <c r="G5" s="3">
        <v>40</v>
      </c>
      <c r="H5" s="3" t="s">
        <v>52</v>
      </c>
      <c r="I5" s="21" t="s">
        <v>69</v>
      </c>
    </row>
    <row r="6" spans="2:10" ht="19.95" customHeight="1" x14ac:dyDescent="0.3">
      <c r="B6" s="3">
        <v>3</v>
      </c>
      <c r="C6" s="3" t="s">
        <v>102</v>
      </c>
      <c r="D6" s="3"/>
      <c r="E6" s="19" t="s">
        <v>98</v>
      </c>
      <c r="F6" s="5" t="s">
        <v>51</v>
      </c>
      <c r="G6" s="3">
        <v>40</v>
      </c>
      <c r="H6" s="3" t="s">
        <v>52</v>
      </c>
      <c r="I6" s="3" t="s">
        <v>104</v>
      </c>
    </row>
    <row r="7" spans="2:10" ht="19.95" customHeight="1" x14ac:dyDescent="0.3">
      <c r="B7" s="3">
        <v>4</v>
      </c>
      <c r="C7" s="23" t="s">
        <v>103</v>
      </c>
      <c r="D7" s="3"/>
      <c r="E7" s="19" t="s">
        <v>55</v>
      </c>
      <c r="F7" s="5" t="s">
        <v>51</v>
      </c>
      <c r="G7" s="3">
        <v>150</v>
      </c>
      <c r="H7" s="3" t="s">
        <v>52</v>
      </c>
      <c r="I7" s="21" t="s">
        <v>70</v>
      </c>
    </row>
    <row r="8" spans="2:10" ht="19.95" customHeight="1" x14ac:dyDescent="0.3">
      <c r="B8" s="3">
        <v>5</v>
      </c>
      <c r="C8" s="12" t="s">
        <v>56</v>
      </c>
      <c r="D8" s="12"/>
      <c r="E8" s="15" t="s">
        <v>57</v>
      </c>
      <c r="F8" s="5" t="s">
        <v>51</v>
      </c>
      <c r="G8" s="3">
        <v>50</v>
      </c>
      <c r="H8" s="3" t="s">
        <v>52</v>
      </c>
      <c r="I8" s="21" t="s">
        <v>71</v>
      </c>
    </row>
    <row r="9" spans="2:10" ht="19.95" customHeight="1" x14ac:dyDescent="0.3">
      <c r="B9" s="3">
        <v>6</v>
      </c>
      <c r="C9" s="12" t="s">
        <v>58</v>
      </c>
      <c r="D9" s="12"/>
      <c r="E9" s="15" t="s">
        <v>59</v>
      </c>
      <c r="F9" s="5" t="s">
        <v>51</v>
      </c>
      <c r="G9" s="3">
        <v>50</v>
      </c>
      <c r="H9" s="3" t="s">
        <v>52</v>
      </c>
      <c r="I9" s="21" t="s">
        <v>72</v>
      </c>
    </row>
    <row r="10" spans="2:10" ht="19.95" customHeight="1" x14ac:dyDescent="0.3">
      <c r="B10" s="3">
        <v>7</v>
      </c>
      <c r="C10" s="3" t="s">
        <v>60</v>
      </c>
      <c r="D10" s="3"/>
      <c r="E10" s="19" t="s">
        <v>61</v>
      </c>
      <c r="F10" s="5" t="s">
        <v>51</v>
      </c>
      <c r="G10" s="3">
        <v>19</v>
      </c>
      <c r="H10" s="3" t="s">
        <v>52</v>
      </c>
      <c r="I10" s="3" t="s">
        <v>73</v>
      </c>
    </row>
    <row r="11" spans="2:10" ht="19.95" customHeight="1" x14ac:dyDescent="0.3">
      <c r="B11" s="3">
        <v>8</v>
      </c>
      <c r="C11" s="3"/>
      <c r="D11" s="3"/>
      <c r="E11" s="19" t="s">
        <v>78</v>
      </c>
      <c r="F11" s="3" t="s">
        <v>62</v>
      </c>
      <c r="G11" s="3">
        <v>60</v>
      </c>
      <c r="H11" s="3" t="s">
        <v>52</v>
      </c>
      <c r="I11" s="3" t="s">
        <v>104</v>
      </c>
    </row>
    <row r="12" spans="2:10" ht="19.95" customHeight="1" x14ac:dyDescent="0.3">
      <c r="B12" s="3">
        <v>9</v>
      </c>
      <c r="C12" s="3"/>
      <c r="D12" s="3"/>
      <c r="E12" s="19" t="s">
        <v>79</v>
      </c>
      <c r="F12" s="3" t="s">
        <v>62</v>
      </c>
      <c r="G12" s="12">
        <v>20</v>
      </c>
      <c r="H12" s="3" t="s">
        <v>52</v>
      </c>
      <c r="I12" s="3" t="s">
        <v>76</v>
      </c>
    </row>
    <row r="13" spans="2:10" ht="19.95" customHeight="1" x14ac:dyDescent="0.3">
      <c r="B13" s="3">
        <v>10</v>
      </c>
      <c r="C13" s="3"/>
      <c r="D13" s="3"/>
      <c r="E13" s="19" t="s">
        <v>80</v>
      </c>
      <c r="F13" s="3" t="s">
        <v>62</v>
      </c>
      <c r="G13" s="12">
        <v>25</v>
      </c>
      <c r="H13" s="3" t="s">
        <v>52</v>
      </c>
      <c r="I13" s="3" t="s">
        <v>77</v>
      </c>
    </row>
    <row r="14" spans="2:10" ht="19.95" customHeight="1" x14ac:dyDescent="0.3">
      <c r="B14" s="3">
        <v>11</v>
      </c>
      <c r="C14" s="3"/>
      <c r="D14" s="3"/>
      <c r="E14" s="19" t="s">
        <v>84</v>
      </c>
      <c r="F14" s="3" t="s">
        <v>63</v>
      </c>
      <c r="G14" s="3"/>
      <c r="H14" s="3" t="s">
        <v>52</v>
      </c>
      <c r="I14" s="3" t="s">
        <v>81</v>
      </c>
    </row>
    <row r="15" spans="2:10" ht="19.95" customHeight="1" x14ac:dyDescent="0.3">
      <c r="B15" s="3">
        <v>12</v>
      </c>
      <c r="C15" s="3"/>
      <c r="D15" s="3"/>
      <c r="E15" s="19" t="s">
        <v>105</v>
      </c>
      <c r="F15" s="3" t="s">
        <v>63</v>
      </c>
      <c r="G15" s="3"/>
      <c r="H15" s="3" t="s">
        <v>52</v>
      </c>
      <c r="I15" s="3" t="s">
        <v>104</v>
      </c>
    </row>
    <row r="16" spans="2:10" ht="19.95" customHeight="1" x14ac:dyDescent="0.3">
      <c r="B16" s="3">
        <v>13</v>
      </c>
      <c r="C16" s="3"/>
      <c r="D16" s="3"/>
      <c r="E16" s="19" t="s">
        <v>141</v>
      </c>
      <c r="F16" s="3" t="s">
        <v>65</v>
      </c>
      <c r="G16" s="3"/>
      <c r="H16" s="3" t="s">
        <v>52</v>
      </c>
      <c r="I16" s="3" t="s">
        <v>104</v>
      </c>
    </row>
    <row r="17" spans="2:8" ht="19.95" customHeight="1" x14ac:dyDescent="0.3">
      <c r="B17" s="2"/>
      <c r="C17" s="2"/>
      <c r="D17" s="2"/>
      <c r="E17" s="2"/>
      <c r="F17" s="2"/>
      <c r="G17" s="2"/>
      <c r="H17" s="2"/>
    </row>
    <row r="18" spans="2:8" ht="18" customHeight="1" x14ac:dyDescent="0.3">
      <c r="B18" s="20"/>
      <c r="C18" s="20"/>
      <c r="D18" s="20"/>
      <c r="E18" s="20"/>
      <c r="F18" s="20"/>
      <c r="G18" s="20"/>
      <c r="H18" s="20"/>
    </row>
  </sheetData>
  <mergeCells count="1">
    <mergeCell ref="B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1C5F-891A-4DD0-871C-0C49A131FF51}">
  <dimension ref="A1:X45"/>
  <sheetViews>
    <sheetView topLeftCell="A5" workbookViewId="0">
      <selection activeCell="E18" sqref="E18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11.44140625" bestFit="1" customWidth="1"/>
    <col min="4" max="4" width="6.6640625" bestFit="1" customWidth="1"/>
    <col min="5" max="5" width="38.21875" customWidth="1"/>
    <col min="6" max="6" width="10.109375" customWidth="1"/>
    <col min="7" max="7" width="20.6640625" customWidth="1"/>
    <col min="8" max="8" width="7.44140625" customWidth="1"/>
    <col min="9" max="9" width="43.109375" bestFit="1" customWidth="1"/>
    <col min="10" max="11" width="7.44140625" customWidth="1"/>
    <col min="12" max="12" width="8.109375" bestFit="1" customWidth="1"/>
    <col min="13" max="13" width="5.33203125" customWidth="1"/>
    <col min="14" max="14" width="9.44140625" customWidth="1"/>
    <col min="15" max="15" width="9.5546875" customWidth="1"/>
    <col min="16" max="16" width="5.109375" customWidth="1"/>
    <col min="19" max="19" width="7.6640625" bestFit="1" customWidth="1"/>
    <col min="20" max="20" width="8.5546875" customWidth="1"/>
    <col min="21" max="21" width="10.109375" bestFit="1" customWidth="1"/>
    <col min="22" max="22" width="9.77734375" bestFit="1" customWidth="1"/>
    <col min="23" max="23" width="4.77734375" bestFit="1" customWidth="1"/>
    <col min="24" max="24" width="12.33203125" bestFit="1" customWidth="1"/>
    <col min="25" max="25" width="8.33203125" customWidth="1"/>
    <col min="26" max="26" width="8.6640625" bestFit="1" customWidth="1"/>
  </cols>
  <sheetData>
    <row r="1" spans="1:24" ht="22.8" customHeight="1" x14ac:dyDescent="0.3">
      <c r="L1" s="46" t="s">
        <v>131</v>
      </c>
      <c r="M1" s="47"/>
      <c r="N1" s="47"/>
      <c r="O1" s="47"/>
      <c r="P1" s="47"/>
      <c r="Q1" s="47"/>
      <c r="R1" s="47"/>
      <c r="S1" s="47"/>
      <c r="T1" s="47"/>
      <c r="U1" s="47"/>
      <c r="V1" s="48"/>
    </row>
    <row r="2" spans="1:24" ht="28.8" customHeight="1" x14ac:dyDescent="0.3">
      <c r="Q2" s="49" t="s">
        <v>129</v>
      </c>
      <c r="R2" s="50"/>
      <c r="S2" s="51">
        <v>700</v>
      </c>
      <c r="T2" s="65" t="s">
        <v>130</v>
      </c>
      <c r="U2" s="66"/>
      <c r="V2" s="67">
        <v>200</v>
      </c>
    </row>
    <row r="3" spans="1:24" ht="30" customHeight="1" x14ac:dyDescent="0.3">
      <c r="A3" s="2"/>
      <c r="B3" s="46" t="s">
        <v>41</v>
      </c>
      <c r="C3" s="47"/>
      <c r="D3" s="47"/>
      <c r="E3" s="47"/>
      <c r="F3" s="47"/>
      <c r="G3" s="47"/>
      <c r="H3" s="47"/>
      <c r="I3" s="48"/>
      <c r="L3" s="42" t="s">
        <v>132</v>
      </c>
      <c r="N3" s="25" t="s">
        <v>106</v>
      </c>
      <c r="O3" s="26">
        <v>0.01</v>
      </c>
      <c r="Q3" s="27" t="s">
        <v>107</v>
      </c>
      <c r="R3" s="28"/>
      <c r="S3" s="28"/>
      <c r="T3" s="28"/>
      <c r="U3" s="28"/>
      <c r="V3" s="28"/>
      <c r="W3" s="1"/>
    </row>
    <row r="4" spans="1:24" ht="30" customHeight="1" x14ac:dyDescent="0.3">
      <c r="B4" s="7" t="s">
        <v>0</v>
      </c>
      <c r="C4" s="16" t="s">
        <v>44</v>
      </c>
      <c r="D4" s="7" t="s">
        <v>108</v>
      </c>
      <c r="E4" s="7" t="s">
        <v>45</v>
      </c>
      <c r="F4" s="7" t="s">
        <v>46</v>
      </c>
      <c r="G4" s="16" t="s">
        <v>47</v>
      </c>
      <c r="H4" s="7" t="s">
        <v>48</v>
      </c>
      <c r="I4" s="7" t="s">
        <v>49</v>
      </c>
      <c r="K4" s="7" t="s">
        <v>133</v>
      </c>
      <c r="L4" s="7" t="s">
        <v>49</v>
      </c>
      <c r="N4" s="16" t="s">
        <v>109</v>
      </c>
      <c r="O4" s="16" t="s">
        <v>110</v>
      </c>
      <c r="Q4" s="16" t="s">
        <v>111</v>
      </c>
      <c r="R4" s="7" t="s">
        <v>112</v>
      </c>
      <c r="S4" s="7" t="s">
        <v>113</v>
      </c>
      <c r="T4" s="16" t="s">
        <v>114</v>
      </c>
      <c r="U4" s="16" t="s">
        <v>115</v>
      </c>
      <c r="V4" s="7" t="s">
        <v>116</v>
      </c>
      <c r="W4" s="29"/>
    </row>
    <row r="5" spans="1:24" ht="30" customHeight="1" x14ac:dyDescent="0.3">
      <c r="B5" s="23">
        <v>1</v>
      </c>
      <c r="C5" s="23" t="s">
        <v>138</v>
      </c>
      <c r="D5" s="54"/>
      <c r="E5" s="55" t="s">
        <v>117</v>
      </c>
      <c r="F5" s="56" t="s">
        <v>118</v>
      </c>
      <c r="G5" s="57" t="s">
        <v>87</v>
      </c>
      <c r="H5" s="23" t="s">
        <v>52</v>
      </c>
      <c r="I5" s="23" t="s">
        <v>67</v>
      </c>
      <c r="J5" s="59"/>
      <c r="K5" s="59">
        <v>2500</v>
      </c>
      <c r="L5" s="60">
        <f>'[1]Calc.'!I28</f>
        <v>2</v>
      </c>
      <c r="M5" s="59"/>
      <c r="N5" s="60">
        <f t="shared" ref="N5:N18" si="0">ROUNDUP(L5*$O$3,0)</f>
        <v>1</v>
      </c>
      <c r="O5" s="60">
        <f>L5+N5</f>
        <v>3</v>
      </c>
      <c r="P5" s="59"/>
      <c r="Q5" s="61">
        <v>1.21</v>
      </c>
      <c r="R5" s="62">
        <f>K5*O5/1000</f>
        <v>7.5</v>
      </c>
      <c r="S5" s="63">
        <f>Q5*R5</f>
        <v>9.0749999999999993</v>
      </c>
      <c r="T5" s="54">
        <f>$V$2</f>
        <v>200</v>
      </c>
      <c r="U5" s="54">
        <v>0</v>
      </c>
      <c r="V5" s="64">
        <f>S5*T5+O5*U5</f>
        <v>1814.9999999999998</v>
      </c>
      <c r="X5" s="35"/>
    </row>
    <row r="6" spans="1:24" ht="30" customHeight="1" x14ac:dyDescent="0.3">
      <c r="B6" s="3">
        <v>2</v>
      </c>
      <c r="C6" s="3" t="s">
        <v>119</v>
      </c>
      <c r="D6" s="3"/>
      <c r="E6" s="19" t="s">
        <v>120</v>
      </c>
      <c r="F6" s="5" t="s">
        <v>51</v>
      </c>
      <c r="G6" s="3">
        <v>40</v>
      </c>
      <c r="H6" s="3" t="s">
        <v>52</v>
      </c>
      <c r="I6" s="21" t="s">
        <v>69</v>
      </c>
      <c r="L6" s="30">
        <f>'[1]Calc.'!O28</f>
        <v>4542</v>
      </c>
      <c r="N6" s="30">
        <f t="shared" si="0"/>
        <v>46</v>
      </c>
      <c r="O6" s="30">
        <f t="shared" ref="O6:O18" si="1">L6+N6</f>
        <v>4588</v>
      </c>
      <c r="Q6" s="31">
        <v>3.03</v>
      </c>
      <c r="R6" s="32">
        <f t="shared" ref="R6:R11" si="2">G6*O6/1000</f>
        <v>183.52</v>
      </c>
      <c r="S6" s="33">
        <f t="shared" ref="S6:S10" si="3">Q6*R6</f>
        <v>556.06560000000002</v>
      </c>
      <c r="T6" s="6">
        <f>$S$2</f>
        <v>700</v>
      </c>
      <c r="U6" s="6">
        <v>0</v>
      </c>
      <c r="V6" s="34">
        <f t="shared" ref="V6:V18" si="4">S6*T6+O6*U6</f>
        <v>389245.92</v>
      </c>
      <c r="W6" s="36"/>
    </row>
    <row r="7" spans="1:24" ht="30" customHeight="1" x14ac:dyDescent="0.3">
      <c r="B7" s="3">
        <v>3</v>
      </c>
      <c r="C7" s="3" t="s">
        <v>121</v>
      </c>
      <c r="D7" s="3"/>
      <c r="E7" s="19" t="s">
        <v>122</v>
      </c>
      <c r="F7" s="5" t="s">
        <v>51</v>
      </c>
      <c r="G7" s="3">
        <v>40</v>
      </c>
      <c r="H7" s="3" t="s">
        <v>52</v>
      </c>
      <c r="I7" s="3" t="s">
        <v>134</v>
      </c>
      <c r="L7" s="30">
        <f>L6</f>
        <v>4542</v>
      </c>
      <c r="N7" s="30">
        <f t="shared" si="0"/>
        <v>46</v>
      </c>
      <c r="O7" s="30">
        <f t="shared" si="1"/>
        <v>4588</v>
      </c>
      <c r="Q7" s="31">
        <v>0.7</v>
      </c>
      <c r="R7" s="32">
        <f t="shared" si="2"/>
        <v>183.52</v>
      </c>
      <c r="S7" s="33">
        <f t="shared" si="3"/>
        <v>128.464</v>
      </c>
      <c r="T7" s="6">
        <f>$S$2</f>
        <v>700</v>
      </c>
      <c r="U7" s="6">
        <v>0</v>
      </c>
      <c r="V7" s="34">
        <f t="shared" si="4"/>
        <v>89924.800000000003</v>
      </c>
      <c r="W7" s="36"/>
    </row>
    <row r="8" spans="1:24" ht="30" customHeight="1" x14ac:dyDescent="0.3">
      <c r="B8" s="23">
        <v>4</v>
      </c>
      <c r="C8" s="23" t="s">
        <v>136</v>
      </c>
      <c r="D8" s="23"/>
      <c r="E8" s="58" t="s">
        <v>135</v>
      </c>
      <c r="F8" s="56" t="s">
        <v>118</v>
      </c>
      <c r="G8" s="23">
        <v>150</v>
      </c>
      <c r="H8" s="23" t="s">
        <v>52</v>
      </c>
      <c r="I8" s="23" t="s">
        <v>70</v>
      </c>
      <c r="J8" s="59"/>
      <c r="K8" s="59"/>
      <c r="L8" s="60">
        <v>50</v>
      </c>
      <c r="M8" s="59"/>
      <c r="N8" s="60">
        <f t="shared" ref="N8" si="5">ROUNDUP(L8*$O$3,0)</f>
        <v>1</v>
      </c>
      <c r="O8" s="60">
        <f t="shared" ref="O8" si="6">L8+N8</f>
        <v>51</v>
      </c>
      <c r="P8" s="59"/>
      <c r="Q8" s="61">
        <v>0.5</v>
      </c>
      <c r="R8" s="62">
        <f t="shared" ref="R8" si="7">G8*O8/1000</f>
        <v>7.65</v>
      </c>
      <c r="S8" s="63">
        <f t="shared" ref="S8" si="8">Q8*R8</f>
        <v>3.8250000000000002</v>
      </c>
      <c r="T8" s="54">
        <f>V2</f>
        <v>200</v>
      </c>
      <c r="U8" s="54">
        <v>1</v>
      </c>
      <c r="V8" s="64">
        <f t="shared" ref="V8" si="9">S8*T8+O8*U8</f>
        <v>816</v>
      </c>
      <c r="W8" s="36"/>
    </row>
    <row r="9" spans="1:24" ht="30" customHeight="1" x14ac:dyDescent="0.3">
      <c r="B9" s="3">
        <v>5</v>
      </c>
      <c r="C9" s="37" t="s">
        <v>123</v>
      </c>
      <c r="D9" s="3"/>
      <c r="E9" s="19" t="s">
        <v>124</v>
      </c>
      <c r="F9" s="5" t="s">
        <v>51</v>
      </c>
      <c r="G9" s="3">
        <v>50</v>
      </c>
      <c r="H9" s="3" t="s">
        <v>52</v>
      </c>
      <c r="I9" s="21" t="s">
        <v>71</v>
      </c>
      <c r="L9" s="30">
        <f>'[1]Calc.'!E28</f>
        <v>2272</v>
      </c>
      <c r="N9" s="30">
        <f t="shared" si="0"/>
        <v>23</v>
      </c>
      <c r="O9" s="30">
        <f t="shared" si="1"/>
        <v>2295</v>
      </c>
      <c r="Q9" s="31">
        <v>0.61</v>
      </c>
      <c r="R9" s="32">
        <f t="shared" si="2"/>
        <v>114.75</v>
      </c>
      <c r="S9" s="33">
        <f t="shared" si="3"/>
        <v>69.997500000000002</v>
      </c>
      <c r="T9" s="6">
        <f>$S$2</f>
        <v>700</v>
      </c>
      <c r="U9" s="6">
        <v>0</v>
      </c>
      <c r="V9" s="34">
        <f t="shared" si="4"/>
        <v>48998.25</v>
      </c>
    </row>
    <row r="10" spans="1:24" ht="30" customHeight="1" x14ac:dyDescent="0.3">
      <c r="B10" s="3">
        <v>6</v>
      </c>
      <c r="C10" s="37" t="s">
        <v>58</v>
      </c>
      <c r="D10" s="3"/>
      <c r="E10" s="19" t="s">
        <v>59</v>
      </c>
      <c r="F10" s="5" t="s">
        <v>51</v>
      </c>
      <c r="G10" s="3">
        <v>50</v>
      </c>
      <c r="H10" s="3" t="s">
        <v>52</v>
      </c>
      <c r="I10" s="21" t="s">
        <v>72</v>
      </c>
      <c r="L10" s="30">
        <f>'[1]Calc.'!F28</f>
        <v>3404</v>
      </c>
      <c r="N10" s="30">
        <f t="shared" si="0"/>
        <v>35</v>
      </c>
      <c r="O10" s="30">
        <f t="shared" si="1"/>
        <v>3439</v>
      </c>
      <c r="Q10" s="31">
        <v>0.61</v>
      </c>
      <c r="R10" s="32">
        <f t="shared" si="2"/>
        <v>171.95</v>
      </c>
      <c r="S10" s="33">
        <f t="shared" si="3"/>
        <v>104.88949999999998</v>
      </c>
      <c r="T10" s="6">
        <f>$S$2</f>
        <v>700</v>
      </c>
      <c r="U10" s="6">
        <v>0</v>
      </c>
      <c r="V10" s="34">
        <f t="shared" si="4"/>
        <v>73422.649999999994</v>
      </c>
    </row>
    <row r="11" spans="1:24" ht="30" customHeight="1" x14ac:dyDescent="0.3">
      <c r="B11" s="3">
        <v>7</v>
      </c>
      <c r="C11" s="3" t="s">
        <v>125</v>
      </c>
      <c r="D11" s="3"/>
      <c r="E11" s="19" t="s">
        <v>61</v>
      </c>
      <c r="F11" s="5" t="s">
        <v>51</v>
      </c>
      <c r="G11" s="3">
        <v>23</v>
      </c>
      <c r="H11" s="3" t="s">
        <v>52</v>
      </c>
      <c r="I11" s="3" t="s">
        <v>73</v>
      </c>
      <c r="L11" s="30">
        <f>L9+L10</f>
        <v>5676</v>
      </c>
      <c r="N11" s="30">
        <f t="shared" si="0"/>
        <v>57</v>
      </c>
      <c r="O11" s="30">
        <f>L11+N11</f>
        <v>5733</v>
      </c>
      <c r="Q11" s="31">
        <v>0.67</v>
      </c>
      <c r="R11" s="32">
        <f t="shared" si="2"/>
        <v>131.85900000000001</v>
      </c>
      <c r="S11" s="33">
        <f>Q11*R11</f>
        <v>88.345530000000011</v>
      </c>
      <c r="T11" s="6">
        <f>$S$2</f>
        <v>700</v>
      </c>
      <c r="U11" s="6">
        <v>0</v>
      </c>
      <c r="V11" s="34">
        <f>S11*T11+O11*U11</f>
        <v>61841.871000000006</v>
      </c>
    </row>
    <row r="12" spans="1:24" ht="30" customHeight="1" x14ac:dyDescent="0.3">
      <c r="B12" s="3">
        <v>8</v>
      </c>
      <c r="C12" s="3"/>
      <c r="D12" s="3"/>
      <c r="E12" s="19" t="s">
        <v>78</v>
      </c>
      <c r="F12" s="3" t="s">
        <v>62</v>
      </c>
      <c r="G12" s="3">
        <v>60</v>
      </c>
      <c r="H12" s="3" t="s">
        <v>52</v>
      </c>
      <c r="I12" s="3" t="s">
        <v>134</v>
      </c>
      <c r="L12" s="30">
        <f>L6</f>
        <v>4542</v>
      </c>
      <c r="N12" s="30">
        <f t="shared" si="0"/>
        <v>46</v>
      </c>
      <c r="O12" s="30">
        <f t="shared" si="1"/>
        <v>4588</v>
      </c>
      <c r="Q12" s="6"/>
      <c r="R12" s="38"/>
      <c r="S12" s="33"/>
      <c r="T12" s="6"/>
      <c r="U12" s="6">
        <v>25</v>
      </c>
      <c r="V12" s="34">
        <f t="shared" si="4"/>
        <v>114700</v>
      </c>
    </row>
    <row r="13" spans="1:24" ht="30" customHeight="1" x14ac:dyDescent="0.3">
      <c r="B13" s="3">
        <v>9</v>
      </c>
      <c r="C13" s="3"/>
      <c r="D13" s="3"/>
      <c r="E13" s="19" t="s">
        <v>79</v>
      </c>
      <c r="F13" s="3" t="s">
        <v>62</v>
      </c>
      <c r="G13" s="12">
        <v>40</v>
      </c>
      <c r="H13" s="3" t="s">
        <v>52</v>
      </c>
      <c r="I13" s="3" t="s">
        <v>76</v>
      </c>
      <c r="L13" s="30">
        <f>L9</f>
        <v>2272</v>
      </c>
      <c r="N13" s="30">
        <f t="shared" si="0"/>
        <v>23</v>
      </c>
      <c r="O13" s="30">
        <f t="shared" si="1"/>
        <v>2295</v>
      </c>
      <c r="Q13" s="6"/>
      <c r="R13" s="38"/>
      <c r="S13" s="33"/>
      <c r="T13" s="6"/>
      <c r="U13" s="6">
        <v>18</v>
      </c>
      <c r="V13" s="34">
        <f t="shared" si="4"/>
        <v>41310</v>
      </c>
    </row>
    <row r="14" spans="1:24" ht="30" customHeight="1" x14ac:dyDescent="0.3">
      <c r="B14" s="3">
        <v>10</v>
      </c>
      <c r="C14" s="3"/>
      <c r="D14" s="3"/>
      <c r="E14" s="19" t="s">
        <v>80</v>
      </c>
      <c r="F14" s="3" t="s">
        <v>62</v>
      </c>
      <c r="G14" s="12">
        <v>45</v>
      </c>
      <c r="H14" s="3" t="s">
        <v>52</v>
      </c>
      <c r="I14" s="3" t="s">
        <v>77</v>
      </c>
      <c r="L14" s="30">
        <f>L10</f>
        <v>3404</v>
      </c>
      <c r="N14" s="30">
        <f t="shared" ref="N14" si="10">ROUNDUP(L14*$O$3,0)</f>
        <v>35</v>
      </c>
      <c r="O14" s="30">
        <f t="shared" ref="O14" si="11">L14+N14</f>
        <v>3439</v>
      </c>
      <c r="Q14" s="6"/>
      <c r="R14" s="38"/>
      <c r="S14" s="33"/>
      <c r="T14" s="6"/>
      <c r="U14" s="6"/>
      <c r="V14" s="34"/>
    </row>
    <row r="15" spans="1:24" ht="30" customHeight="1" x14ac:dyDescent="0.3">
      <c r="B15" s="3">
        <v>11</v>
      </c>
      <c r="C15" s="3"/>
      <c r="D15" s="3"/>
      <c r="E15" s="19" t="s">
        <v>140</v>
      </c>
      <c r="F15" s="3" t="s">
        <v>62</v>
      </c>
      <c r="G15" s="3">
        <v>16</v>
      </c>
      <c r="H15" s="3" t="s">
        <v>52</v>
      </c>
      <c r="I15" s="3" t="s">
        <v>134</v>
      </c>
      <c r="L15" s="30">
        <f>L7</f>
        <v>4542</v>
      </c>
      <c r="N15" s="30">
        <f t="shared" si="0"/>
        <v>46</v>
      </c>
      <c r="O15" s="30">
        <f t="shared" si="1"/>
        <v>4588</v>
      </c>
      <c r="Q15" s="6"/>
      <c r="R15" s="38"/>
      <c r="S15" s="33"/>
      <c r="T15" s="6"/>
      <c r="U15" s="6">
        <v>12</v>
      </c>
      <c r="V15" s="34">
        <f t="shared" si="4"/>
        <v>55056</v>
      </c>
    </row>
    <row r="16" spans="1:24" ht="30" customHeight="1" x14ac:dyDescent="0.3">
      <c r="B16" s="3">
        <v>12</v>
      </c>
      <c r="C16" s="3"/>
      <c r="D16" s="39"/>
      <c r="E16" s="19" t="s">
        <v>84</v>
      </c>
      <c r="F16" s="3" t="s">
        <v>62</v>
      </c>
      <c r="G16" s="4"/>
      <c r="H16" s="3" t="s">
        <v>52</v>
      </c>
      <c r="I16" s="3" t="s">
        <v>81</v>
      </c>
      <c r="L16" s="30">
        <f>L8*8</f>
        <v>400</v>
      </c>
      <c r="N16" s="30">
        <f t="shared" si="0"/>
        <v>4</v>
      </c>
      <c r="O16" s="30">
        <f>L16+N16</f>
        <v>404</v>
      </c>
      <c r="Q16" s="40"/>
      <c r="R16" s="40"/>
      <c r="S16" s="33"/>
      <c r="T16" s="6"/>
      <c r="U16" s="6">
        <v>5</v>
      </c>
      <c r="V16" s="34">
        <f>S16*T16+O16*U16</f>
        <v>2020</v>
      </c>
    </row>
    <row r="17" spans="2:22" ht="30" customHeight="1" x14ac:dyDescent="0.3">
      <c r="B17" s="3">
        <v>13</v>
      </c>
      <c r="C17" s="3"/>
      <c r="D17" s="39"/>
      <c r="E17" s="19" t="s">
        <v>86</v>
      </c>
      <c r="F17" s="3" t="s">
        <v>63</v>
      </c>
      <c r="G17" s="4"/>
      <c r="H17" s="3" t="s">
        <v>52</v>
      </c>
      <c r="I17" s="3" t="s">
        <v>137</v>
      </c>
      <c r="L17" s="30">
        <f>L6</f>
        <v>4542</v>
      </c>
      <c r="N17" s="30">
        <f t="shared" si="0"/>
        <v>46</v>
      </c>
      <c r="O17" s="30">
        <f t="shared" si="1"/>
        <v>4588</v>
      </c>
      <c r="Q17" s="40"/>
      <c r="R17" s="40"/>
      <c r="S17" s="33"/>
      <c r="T17" s="6"/>
      <c r="U17" s="6">
        <v>24</v>
      </c>
      <c r="V17" s="34">
        <f t="shared" si="4"/>
        <v>110112</v>
      </c>
    </row>
    <row r="18" spans="2:22" ht="30" customHeight="1" x14ac:dyDescent="0.3">
      <c r="B18" s="3">
        <v>14</v>
      </c>
      <c r="C18" s="3"/>
      <c r="D18" s="39"/>
      <c r="E18" s="19" t="s">
        <v>141</v>
      </c>
      <c r="F18" s="3" t="s">
        <v>65</v>
      </c>
      <c r="G18" s="4"/>
      <c r="H18" s="3" t="s">
        <v>52</v>
      </c>
      <c r="I18" s="3" t="s">
        <v>134</v>
      </c>
      <c r="L18" s="30">
        <f>L17</f>
        <v>4542</v>
      </c>
      <c r="N18" s="30">
        <f t="shared" si="0"/>
        <v>46</v>
      </c>
      <c r="O18" s="30">
        <f t="shared" si="1"/>
        <v>4588</v>
      </c>
      <c r="Q18" s="40"/>
      <c r="R18" s="40"/>
      <c r="S18" s="33"/>
      <c r="T18" s="6"/>
      <c r="U18" s="6">
        <v>8</v>
      </c>
      <c r="V18" s="34">
        <f t="shared" si="4"/>
        <v>36704</v>
      </c>
    </row>
    <row r="19" spans="2:22" ht="30" customHeight="1" x14ac:dyDescent="0.3">
      <c r="B19" t="s">
        <v>127</v>
      </c>
      <c r="S19" s="36"/>
      <c r="V19" s="41"/>
    </row>
    <row r="20" spans="2:22" ht="33" customHeight="1" x14ac:dyDescent="0.3">
      <c r="B20" s="52" t="s">
        <v>128</v>
      </c>
      <c r="C20" s="52"/>
      <c r="D20" s="52"/>
      <c r="E20" s="52"/>
      <c r="F20" s="52"/>
      <c r="G20" s="52"/>
      <c r="H20" s="52"/>
      <c r="I20" s="52"/>
      <c r="J20" s="2"/>
      <c r="K20" s="2"/>
      <c r="L20" s="2"/>
    </row>
    <row r="21" spans="2:22" ht="33" customHeight="1" x14ac:dyDescent="0.3">
      <c r="B21" s="53" t="s">
        <v>139</v>
      </c>
      <c r="C21" s="53"/>
      <c r="D21" s="53"/>
      <c r="E21" s="53"/>
      <c r="F21" s="53"/>
      <c r="G21" s="53"/>
      <c r="H21" s="53"/>
      <c r="I21" s="53"/>
      <c r="J21" s="2"/>
      <c r="K21" s="2"/>
      <c r="L21" s="2"/>
    </row>
    <row r="22" spans="2:22" ht="30" customHeight="1" x14ac:dyDescent="0.3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2:22" ht="30" customHeight="1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22" ht="19.95" customHeight="1" x14ac:dyDescent="0.3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R24" s="2"/>
      <c r="S24" s="2"/>
      <c r="T24" s="1"/>
    </row>
    <row r="25" spans="2:22" ht="19.95" customHeight="1" x14ac:dyDescent="0.3"/>
    <row r="26" spans="2:22" ht="19.95" customHeight="1" x14ac:dyDescent="0.3">
      <c r="L26" s="43"/>
    </row>
    <row r="27" spans="2:22" ht="19.95" customHeight="1" x14ac:dyDescent="0.3"/>
    <row r="28" spans="2:22" ht="18" customHeight="1" x14ac:dyDescent="0.3">
      <c r="L28" s="44"/>
    </row>
    <row r="29" spans="2:22" ht="18" customHeight="1" x14ac:dyDescent="0.3"/>
    <row r="30" spans="2:22" ht="18" customHeight="1" x14ac:dyDescent="0.3">
      <c r="L30" s="36"/>
    </row>
    <row r="31" spans="2:22" ht="18" customHeight="1" x14ac:dyDescent="0.3"/>
    <row r="32" spans="2:22" ht="18" customHeight="1" x14ac:dyDescent="0.3">
      <c r="L32" s="45"/>
    </row>
    <row r="33" spans="12:12" ht="18" customHeight="1" x14ac:dyDescent="0.3"/>
    <row r="34" spans="12:12" ht="18" customHeight="1" x14ac:dyDescent="0.3">
      <c r="L34" s="44"/>
    </row>
    <row r="35" spans="12:12" ht="18" customHeight="1" x14ac:dyDescent="0.3"/>
    <row r="36" spans="12:12" ht="18" customHeight="1" x14ac:dyDescent="0.3"/>
    <row r="37" spans="12:12" ht="18" customHeight="1" x14ac:dyDescent="0.3"/>
    <row r="38" spans="12:12" ht="18" customHeight="1" x14ac:dyDescent="0.3"/>
    <row r="39" spans="12:12" ht="18" customHeight="1" x14ac:dyDescent="0.3"/>
    <row r="40" spans="12:12" ht="18" customHeight="1" x14ac:dyDescent="0.3"/>
    <row r="41" spans="12:12" ht="18" customHeight="1" x14ac:dyDescent="0.3"/>
    <row r="42" spans="12:12" ht="18" customHeight="1" x14ac:dyDescent="0.3"/>
    <row r="43" spans="12:12" ht="18" customHeight="1" x14ac:dyDescent="0.3"/>
    <row r="44" spans="12:12" ht="18" customHeight="1" x14ac:dyDescent="0.3"/>
    <row r="45" spans="12:12" ht="18" customHeight="1" x14ac:dyDescent="0.3"/>
  </sheetData>
  <mergeCells count="7">
    <mergeCell ref="Q3:V3"/>
    <mergeCell ref="T2:U2"/>
    <mergeCell ref="Q2:R2"/>
    <mergeCell ref="L1:V1"/>
    <mergeCell ref="B3:I3"/>
    <mergeCell ref="B20:I20"/>
    <mergeCell ref="B21:I21"/>
  </mergeCells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F38F-6B6E-44B0-AFFF-0F488EF3CA30}">
  <dimension ref="A1:I45"/>
  <sheetViews>
    <sheetView topLeftCell="A2" workbookViewId="0">
      <selection activeCell="E12" sqref="E12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11.44140625" bestFit="1" customWidth="1"/>
    <col min="4" max="4" width="6.6640625" bestFit="1" customWidth="1"/>
    <col min="5" max="5" width="38.21875" customWidth="1"/>
    <col min="6" max="6" width="10.109375" customWidth="1"/>
    <col min="7" max="7" width="20.6640625" customWidth="1"/>
    <col min="8" max="8" width="7.44140625" customWidth="1"/>
    <col min="9" max="9" width="43.109375" bestFit="1" customWidth="1"/>
    <col min="10" max="10" width="8.33203125" customWidth="1"/>
    <col min="11" max="11" width="8.6640625" bestFit="1" customWidth="1"/>
  </cols>
  <sheetData>
    <row r="1" spans="1:9" ht="22.8" customHeight="1" x14ac:dyDescent="0.3"/>
    <row r="2" spans="1:9" ht="28.8" customHeight="1" x14ac:dyDescent="0.3"/>
    <row r="3" spans="1:9" ht="30" customHeight="1" x14ac:dyDescent="0.3">
      <c r="A3" s="2"/>
      <c r="B3" s="46" t="s">
        <v>41</v>
      </c>
      <c r="C3" s="47"/>
      <c r="D3" s="47"/>
      <c r="E3" s="47"/>
      <c r="F3" s="47"/>
      <c r="G3" s="47"/>
      <c r="H3" s="47"/>
      <c r="I3" s="48"/>
    </row>
    <row r="4" spans="1:9" ht="30" customHeight="1" x14ac:dyDescent="0.3">
      <c r="B4" s="7" t="s">
        <v>0</v>
      </c>
      <c r="C4" s="16" t="s">
        <v>44</v>
      </c>
      <c r="D4" s="7" t="s">
        <v>108</v>
      </c>
      <c r="E4" s="7" t="s">
        <v>45</v>
      </c>
      <c r="F4" s="7" t="s">
        <v>46</v>
      </c>
      <c r="G4" s="16" t="s">
        <v>47</v>
      </c>
      <c r="H4" s="7" t="s">
        <v>48</v>
      </c>
      <c r="I4" s="7" t="s">
        <v>49</v>
      </c>
    </row>
    <row r="5" spans="1:9" ht="28.8" x14ac:dyDescent="0.3">
      <c r="B5" s="23">
        <v>1</v>
      </c>
      <c r="C5" s="23" t="s">
        <v>138</v>
      </c>
      <c r="D5" s="54"/>
      <c r="E5" s="55" t="s">
        <v>117</v>
      </c>
      <c r="F5" s="56" t="s">
        <v>118</v>
      </c>
      <c r="G5" s="57" t="s">
        <v>87</v>
      </c>
      <c r="H5" s="23" t="s">
        <v>52</v>
      </c>
      <c r="I5" s="23" t="s">
        <v>67</v>
      </c>
    </row>
    <row r="6" spans="1:9" ht="25.05" customHeight="1" x14ac:dyDescent="0.3">
      <c r="B6" s="3">
        <v>2</v>
      </c>
      <c r="C6" s="3" t="s">
        <v>119</v>
      </c>
      <c r="D6" s="3"/>
      <c r="E6" s="19" t="s">
        <v>120</v>
      </c>
      <c r="F6" s="5" t="s">
        <v>51</v>
      </c>
      <c r="G6" s="3">
        <v>40</v>
      </c>
      <c r="H6" s="3" t="s">
        <v>52</v>
      </c>
      <c r="I6" s="21" t="s">
        <v>69</v>
      </c>
    </row>
    <row r="7" spans="1:9" ht="25.05" customHeight="1" x14ac:dyDescent="0.3">
      <c r="B7" s="3">
        <v>3</v>
      </c>
      <c r="C7" s="3" t="s">
        <v>121</v>
      </c>
      <c r="D7" s="3"/>
      <c r="E7" s="19" t="s">
        <v>122</v>
      </c>
      <c r="F7" s="5" t="s">
        <v>51</v>
      </c>
      <c r="G7" s="3">
        <v>40</v>
      </c>
      <c r="H7" s="3" t="s">
        <v>52</v>
      </c>
      <c r="I7" s="3" t="s">
        <v>134</v>
      </c>
    </row>
    <row r="8" spans="1:9" ht="25.05" customHeight="1" x14ac:dyDescent="0.3">
      <c r="B8" s="3">
        <v>4</v>
      </c>
      <c r="C8" s="3" t="s">
        <v>89</v>
      </c>
      <c r="D8" s="3"/>
      <c r="E8" s="19" t="s">
        <v>88</v>
      </c>
      <c r="F8" s="5" t="s">
        <v>51</v>
      </c>
      <c r="G8" s="3">
        <v>40</v>
      </c>
      <c r="H8" s="3" t="s">
        <v>52</v>
      </c>
      <c r="I8" s="3" t="s">
        <v>134</v>
      </c>
    </row>
    <row r="9" spans="1:9" ht="25.05" customHeight="1" x14ac:dyDescent="0.3">
      <c r="B9" s="23">
        <v>5</v>
      </c>
      <c r="C9" s="23" t="s">
        <v>136</v>
      </c>
      <c r="D9" s="23"/>
      <c r="E9" s="58" t="s">
        <v>135</v>
      </c>
      <c r="F9" s="56" t="s">
        <v>118</v>
      </c>
      <c r="G9" s="23">
        <v>150</v>
      </c>
      <c r="H9" s="23" t="s">
        <v>52</v>
      </c>
      <c r="I9" s="23" t="s">
        <v>70</v>
      </c>
    </row>
    <row r="10" spans="1:9" ht="25.05" customHeight="1" x14ac:dyDescent="0.3">
      <c r="B10" s="3">
        <v>6</v>
      </c>
      <c r="C10" s="37" t="s">
        <v>123</v>
      </c>
      <c r="D10" s="3"/>
      <c r="E10" s="19" t="s">
        <v>124</v>
      </c>
      <c r="F10" s="5" t="s">
        <v>51</v>
      </c>
      <c r="G10" s="3">
        <v>50</v>
      </c>
      <c r="H10" s="3" t="s">
        <v>52</v>
      </c>
      <c r="I10" s="21" t="s">
        <v>71</v>
      </c>
    </row>
    <row r="11" spans="1:9" ht="25.05" customHeight="1" x14ac:dyDescent="0.3">
      <c r="B11" s="3">
        <v>7</v>
      </c>
      <c r="C11" s="37" t="s">
        <v>58</v>
      </c>
      <c r="D11" s="3"/>
      <c r="E11" s="19" t="s">
        <v>59</v>
      </c>
      <c r="F11" s="5" t="s">
        <v>51</v>
      </c>
      <c r="G11" s="3">
        <v>50</v>
      </c>
      <c r="H11" s="3" t="s">
        <v>52</v>
      </c>
      <c r="I11" s="21" t="s">
        <v>72</v>
      </c>
    </row>
    <row r="12" spans="1:9" ht="25.05" customHeight="1" x14ac:dyDescent="0.3">
      <c r="B12" s="3">
        <v>8</v>
      </c>
      <c r="C12" s="3" t="s">
        <v>125</v>
      </c>
      <c r="D12" s="3"/>
      <c r="E12" s="19" t="s">
        <v>61</v>
      </c>
      <c r="F12" s="5" t="s">
        <v>51</v>
      </c>
      <c r="G12" s="3">
        <v>23</v>
      </c>
      <c r="H12" s="3" t="s">
        <v>52</v>
      </c>
      <c r="I12" s="3" t="s">
        <v>73</v>
      </c>
    </row>
    <row r="13" spans="1:9" ht="25.05" customHeight="1" x14ac:dyDescent="0.3">
      <c r="B13" s="3">
        <v>9</v>
      </c>
      <c r="C13" s="3"/>
      <c r="D13" s="3"/>
      <c r="E13" s="19" t="s">
        <v>78</v>
      </c>
      <c r="F13" s="3" t="s">
        <v>62</v>
      </c>
      <c r="G13" s="3">
        <v>60</v>
      </c>
      <c r="H13" s="3" t="s">
        <v>52</v>
      </c>
      <c r="I13" s="3" t="s">
        <v>134</v>
      </c>
    </row>
    <row r="14" spans="1:9" ht="25.05" customHeight="1" x14ac:dyDescent="0.3">
      <c r="B14" s="3">
        <v>10</v>
      </c>
      <c r="C14" s="3"/>
      <c r="D14" s="3"/>
      <c r="E14" s="19" t="s">
        <v>79</v>
      </c>
      <c r="F14" s="3" t="s">
        <v>62</v>
      </c>
      <c r="G14" s="12">
        <v>40</v>
      </c>
      <c r="H14" s="3" t="s">
        <v>52</v>
      </c>
      <c r="I14" s="3" t="s">
        <v>76</v>
      </c>
    </row>
    <row r="15" spans="1:9" ht="25.05" customHeight="1" x14ac:dyDescent="0.3">
      <c r="B15" s="3">
        <v>11</v>
      </c>
      <c r="C15" s="3"/>
      <c r="D15" s="3"/>
      <c r="E15" s="19" t="s">
        <v>80</v>
      </c>
      <c r="F15" s="3" t="s">
        <v>62</v>
      </c>
      <c r="G15" s="12">
        <v>45</v>
      </c>
      <c r="H15" s="3" t="s">
        <v>52</v>
      </c>
      <c r="I15" s="3" t="s">
        <v>77</v>
      </c>
    </row>
    <row r="16" spans="1:9" ht="25.05" customHeight="1" x14ac:dyDescent="0.3">
      <c r="B16" s="3">
        <v>12</v>
      </c>
      <c r="C16" s="3"/>
      <c r="D16" s="3"/>
      <c r="E16" s="19" t="s">
        <v>126</v>
      </c>
      <c r="F16" s="3" t="s">
        <v>62</v>
      </c>
      <c r="G16" s="3">
        <v>16</v>
      </c>
      <c r="H16" s="3" t="s">
        <v>52</v>
      </c>
      <c r="I16" s="3" t="s">
        <v>134</v>
      </c>
    </row>
    <row r="17" spans="2:9" ht="25.05" customHeight="1" x14ac:dyDescent="0.3">
      <c r="B17" s="3">
        <v>13</v>
      </c>
      <c r="C17" s="3"/>
      <c r="D17" s="39"/>
      <c r="E17" s="19" t="s">
        <v>84</v>
      </c>
      <c r="F17" s="3" t="s">
        <v>62</v>
      </c>
      <c r="G17" s="4"/>
      <c r="H17" s="3" t="s">
        <v>52</v>
      </c>
      <c r="I17" s="3" t="s">
        <v>81</v>
      </c>
    </row>
    <row r="18" spans="2:9" ht="25.05" customHeight="1" x14ac:dyDescent="0.3">
      <c r="B18" s="3">
        <v>14</v>
      </c>
      <c r="C18" s="3"/>
      <c r="D18" s="39"/>
      <c r="E18" s="19" t="s">
        <v>141</v>
      </c>
      <c r="F18" s="3" t="s">
        <v>65</v>
      </c>
      <c r="G18" s="4"/>
      <c r="H18" s="3" t="s">
        <v>52</v>
      </c>
      <c r="I18" s="3" t="s">
        <v>134</v>
      </c>
    </row>
    <row r="19" spans="2:9" ht="30" customHeight="1" x14ac:dyDescent="0.3">
      <c r="B19" t="s">
        <v>127</v>
      </c>
    </row>
    <row r="20" spans="2:9" ht="33" customHeight="1" x14ac:dyDescent="0.3">
      <c r="B20" s="52" t="s">
        <v>128</v>
      </c>
      <c r="C20" s="52"/>
      <c r="D20" s="52"/>
      <c r="E20" s="52"/>
      <c r="F20" s="52"/>
      <c r="G20" s="52"/>
      <c r="H20" s="52"/>
      <c r="I20" s="52"/>
    </row>
    <row r="21" spans="2:9" ht="33" customHeight="1" x14ac:dyDescent="0.3">
      <c r="B21" s="53" t="s">
        <v>139</v>
      </c>
      <c r="C21" s="53"/>
      <c r="D21" s="53"/>
      <c r="E21" s="53"/>
      <c r="F21" s="53"/>
      <c r="G21" s="53"/>
      <c r="H21" s="53"/>
      <c r="I21" s="53"/>
    </row>
    <row r="22" spans="2:9" ht="30" customHeight="1" x14ac:dyDescent="0.3">
      <c r="B22" s="20"/>
      <c r="C22" s="20"/>
      <c r="D22" s="20"/>
      <c r="E22" s="20"/>
      <c r="F22" s="20"/>
      <c r="G22" s="20"/>
      <c r="H22" s="20"/>
      <c r="I22" s="20"/>
    </row>
    <row r="23" spans="2:9" ht="30" customHeight="1" x14ac:dyDescent="0.3">
      <c r="B23" s="2"/>
      <c r="C23" s="2"/>
      <c r="D23" s="2"/>
      <c r="E23" s="2"/>
      <c r="F23" s="2"/>
      <c r="G23" s="2"/>
      <c r="H23" s="2"/>
      <c r="I23" s="2"/>
    </row>
    <row r="24" spans="2:9" ht="19.95" customHeight="1" x14ac:dyDescent="0.3">
      <c r="B24" s="20"/>
      <c r="C24" s="20"/>
      <c r="D24" s="20"/>
      <c r="E24" s="20"/>
      <c r="F24" s="20"/>
      <c r="G24" s="20"/>
      <c r="H24" s="20"/>
      <c r="I24" s="20"/>
    </row>
    <row r="25" spans="2:9" ht="19.95" customHeight="1" x14ac:dyDescent="0.3"/>
    <row r="26" spans="2:9" ht="19.95" customHeight="1" x14ac:dyDescent="0.3"/>
    <row r="27" spans="2:9" ht="19.95" customHeight="1" x14ac:dyDescent="0.3"/>
    <row r="28" spans="2:9" ht="18" customHeight="1" x14ac:dyDescent="0.3"/>
    <row r="29" spans="2:9" ht="18" customHeight="1" x14ac:dyDescent="0.3"/>
    <row r="30" spans="2:9" ht="18" customHeight="1" x14ac:dyDescent="0.3"/>
    <row r="31" spans="2:9" ht="18" customHeight="1" x14ac:dyDescent="0.3"/>
    <row r="32" spans="2:9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</sheetData>
  <mergeCells count="3">
    <mergeCell ref="B21:I21"/>
    <mergeCell ref="B3:I3"/>
    <mergeCell ref="B20:I2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7AB1-ACC9-4A40-A406-51E81835C0B9}">
  <dimension ref="A1:I45"/>
  <sheetViews>
    <sheetView topLeftCell="A2" workbookViewId="0">
      <selection activeCell="M18" sqref="M18"/>
    </sheetView>
  </sheetViews>
  <sheetFormatPr defaultColWidth="9" defaultRowHeight="14.4" x14ac:dyDescent="0.3"/>
  <cols>
    <col min="1" max="1" width="9.109375" customWidth="1"/>
    <col min="2" max="2" width="5.88671875" bestFit="1" customWidth="1"/>
    <col min="3" max="3" width="11.44140625" bestFit="1" customWidth="1"/>
    <col min="4" max="4" width="6.44140625" bestFit="1" customWidth="1"/>
    <col min="5" max="5" width="38.21875" customWidth="1"/>
    <col min="6" max="6" width="10.109375" customWidth="1"/>
    <col min="7" max="7" width="20.6640625" customWidth="1"/>
    <col min="8" max="8" width="7.44140625" customWidth="1"/>
    <col min="9" max="9" width="43.109375" bestFit="1" customWidth="1"/>
    <col min="10" max="10" width="8.33203125" customWidth="1"/>
    <col min="11" max="11" width="8.6640625" bestFit="1" customWidth="1"/>
  </cols>
  <sheetData>
    <row r="1" spans="1:9" ht="22.8" customHeight="1" x14ac:dyDescent="0.3"/>
    <row r="2" spans="1:9" ht="28.8" customHeight="1" x14ac:dyDescent="0.3"/>
    <row r="3" spans="1:9" ht="30" customHeight="1" x14ac:dyDescent="0.3">
      <c r="A3" s="2"/>
      <c r="B3" s="46" t="s">
        <v>41</v>
      </c>
      <c r="C3" s="47"/>
      <c r="D3" s="47"/>
      <c r="E3" s="47"/>
      <c r="F3" s="47"/>
      <c r="G3" s="47"/>
      <c r="H3" s="47"/>
      <c r="I3" s="48"/>
    </row>
    <row r="4" spans="1:9" ht="30" customHeight="1" x14ac:dyDescent="0.3">
      <c r="B4" s="7" t="s">
        <v>0</v>
      </c>
      <c r="C4" s="16" t="s">
        <v>44</v>
      </c>
      <c r="D4" s="7" t="s">
        <v>108</v>
      </c>
      <c r="E4" s="7" t="s">
        <v>45</v>
      </c>
      <c r="F4" s="7" t="s">
        <v>46</v>
      </c>
      <c r="G4" s="16" t="s">
        <v>47</v>
      </c>
      <c r="H4" s="7" t="s">
        <v>48</v>
      </c>
      <c r="I4" s="7" t="s">
        <v>49</v>
      </c>
    </row>
    <row r="5" spans="1:9" ht="28.8" x14ac:dyDescent="0.3">
      <c r="B5" s="23">
        <v>1</v>
      </c>
      <c r="C5" s="23" t="s">
        <v>138</v>
      </c>
      <c r="D5" s="54"/>
      <c r="E5" s="55" t="s">
        <v>117</v>
      </c>
      <c r="F5" s="56" t="s">
        <v>118</v>
      </c>
      <c r="G5" s="57" t="s">
        <v>87</v>
      </c>
      <c r="H5" s="23" t="s">
        <v>52</v>
      </c>
      <c r="I5" s="23" t="s">
        <v>67</v>
      </c>
    </row>
    <row r="6" spans="1:9" ht="25.05" customHeight="1" x14ac:dyDescent="0.3">
      <c r="B6" s="3">
        <v>2</v>
      </c>
      <c r="C6" s="3" t="s">
        <v>119</v>
      </c>
      <c r="D6" s="3"/>
      <c r="E6" s="19" t="s">
        <v>120</v>
      </c>
      <c r="F6" s="5" t="s">
        <v>51</v>
      </c>
      <c r="G6" s="3">
        <v>40</v>
      </c>
      <c r="H6" s="3" t="s">
        <v>52</v>
      </c>
      <c r="I6" s="21" t="s">
        <v>69</v>
      </c>
    </row>
    <row r="7" spans="1:9" ht="25.05" customHeight="1" x14ac:dyDescent="0.3">
      <c r="B7" s="3">
        <v>3</v>
      </c>
      <c r="C7" s="3" t="s">
        <v>121</v>
      </c>
      <c r="D7" s="3"/>
      <c r="E7" s="19" t="s">
        <v>122</v>
      </c>
      <c r="F7" s="5" t="s">
        <v>51</v>
      </c>
      <c r="G7" s="3">
        <v>40</v>
      </c>
      <c r="H7" s="3" t="s">
        <v>52</v>
      </c>
      <c r="I7" s="3" t="s">
        <v>134</v>
      </c>
    </row>
    <row r="8" spans="1:9" ht="25.05" customHeight="1" x14ac:dyDescent="0.3">
      <c r="B8" s="3">
        <v>4</v>
      </c>
      <c r="C8" s="3" t="s">
        <v>91</v>
      </c>
      <c r="D8" s="3"/>
      <c r="E8" s="19" t="s">
        <v>95</v>
      </c>
      <c r="F8" s="5" t="s">
        <v>51</v>
      </c>
      <c r="G8" s="3">
        <v>40</v>
      </c>
      <c r="H8" s="3" t="s">
        <v>52</v>
      </c>
      <c r="I8" s="3" t="s">
        <v>134</v>
      </c>
    </row>
    <row r="9" spans="1:9" ht="25.05" customHeight="1" x14ac:dyDescent="0.3">
      <c r="B9" s="23">
        <v>5</v>
      </c>
      <c r="C9" s="23" t="s">
        <v>136</v>
      </c>
      <c r="D9" s="23"/>
      <c r="E9" s="58" t="s">
        <v>135</v>
      </c>
      <c r="F9" s="56" t="s">
        <v>118</v>
      </c>
      <c r="G9" s="23">
        <v>150</v>
      </c>
      <c r="H9" s="23" t="s">
        <v>52</v>
      </c>
      <c r="I9" s="23" t="s">
        <v>70</v>
      </c>
    </row>
    <row r="10" spans="1:9" ht="25.05" customHeight="1" x14ac:dyDescent="0.3">
      <c r="B10" s="3">
        <v>6</v>
      </c>
      <c r="C10" s="37" t="s">
        <v>123</v>
      </c>
      <c r="D10" s="3"/>
      <c r="E10" s="19" t="s">
        <v>124</v>
      </c>
      <c r="F10" s="5" t="s">
        <v>51</v>
      </c>
      <c r="G10" s="3">
        <v>50</v>
      </c>
      <c r="H10" s="3" t="s">
        <v>52</v>
      </c>
      <c r="I10" s="21" t="s">
        <v>71</v>
      </c>
    </row>
    <row r="11" spans="1:9" ht="25.05" customHeight="1" x14ac:dyDescent="0.3">
      <c r="B11" s="3">
        <v>7</v>
      </c>
      <c r="C11" s="37" t="s">
        <v>58</v>
      </c>
      <c r="D11" s="3"/>
      <c r="E11" s="19" t="s">
        <v>59</v>
      </c>
      <c r="F11" s="5" t="s">
        <v>51</v>
      </c>
      <c r="G11" s="3">
        <v>50</v>
      </c>
      <c r="H11" s="3" t="s">
        <v>52</v>
      </c>
      <c r="I11" s="21" t="s">
        <v>72</v>
      </c>
    </row>
    <row r="12" spans="1:9" ht="25.05" customHeight="1" x14ac:dyDescent="0.3">
      <c r="B12" s="3">
        <v>8</v>
      </c>
      <c r="C12" s="3" t="s">
        <v>125</v>
      </c>
      <c r="D12" s="3"/>
      <c r="E12" s="19" t="s">
        <v>61</v>
      </c>
      <c r="F12" s="5" t="s">
        <v>51</v>
      </c>
      <c r="G12" s="3">
        <v>23</v>
      </c>
      <c r="H12" s="3" t="s">
        <v>52</v>
      </c>
      <c r="I12" s="3" t="s">
        <v>73</v>
      </c>
    </row>
    <row r="13" spans="1:9" ht="25.05" customHeight="1" x14ac:dyDescent="0.3">
      <c r="B13" s="3">
        <v>9</v>
      </c>
      <c r="C13" s="3"/>
      <c r="D13" s="3"/>
      <c r="E13" s="19" t="s">
        <v>78</v>
      </c>
      <c r="F13" s="3" t="s">
        <v>62</v>
      </c>
      <c r="G13" s="3">
        <v>60</v>
      </c>
      <c r="H13" s="3" t="s">
        <v>52</v>
      </c>
      <c r="I13" s="3" t="s">
        <v>134</v>
      </c>
    </row>
    <row r="14" spans="1:9" ht="25.05" customHeight="1" x14ac:dyDescent="0.3">
      <c r="B14" s="3">
        <v>10</v>
      </c>
      <c r="C14" s="3"/>
      <c r="D14" s="3"/>
      <c r="E14" s="19" t="s">
        <v>79</v>
      </c>
      <c r="F14" s="3" t="s">
        <v>62</v>
      </c>
      <c r="G14" s="12">
        <v>40</v>
      </c>
      <c r="H14" s="3" t="s">
        <v>52</v>
      </c>
      <c r="I14" s="3" t="s">
        <v>76</v>
      </c>
    </row>
    <row r="15" spans="1:9" ht="25.05" customHeight="1" x14ac:dyDescent="0.3">
      <c r="B15" s="3">
        <v>11</v>
      </c>
      <c r="C15" s="3"/>
      <c r="D15" s="3"/>
      <c r="E15" s="19" t="s">
        <v>80</v>
      </c>
      <c r="F15" s="3" t="s">
        <v>62</v>
      </c>
      <c r="G15" s="12">
        <v>45</v>
      </c>
      <c r="H15" s="3" t="s">
        <v>52</v>
      </c>
      <c r="I15" s="3" t="s">
        <v>77</v>
      </c>
    </row>
    <row r="16" spans="1:9" ht="25.05" customHeight="1" x14ac:dyDescent="0.3">
      <c r="B16" s="3">
        <v>12</v>
      </c>
      <c r="C16" s="3"/>
      <c r="D16" s="3"/>
      <c r="E16" s="19" t="s">
        <v>126</v>
      </c>
      <c r="F16" s="3" t="s">
        <v>62</v>
      </c>
      <c r="G16" s="3">
        <v>16</v>
      </c>
      <c r="H16" s="3" t="s">
        <v>52</v>
      </c>
      <c r="I16" s="3" t="s">
        <v>134</v>
      </c>
    </row>
    <row r="17" spans="2:9" ht="25.05" customHeight="1" x14ac:dyDescent="0.3">
      <c r="B17" s="3">
        <v>13</v>
      </c>
      <c r="C17" s="3"/>
      <c r="D17" s="3"/>
      <c r="E17" s="9" t="s">
        <v>93</v>
      </c>
      <c r="F17" s="3" t="s">
        <v>62</v>
      </c>
      <c r="G17" s="8">
        <v>20</v>
      </c>
      <c r="H17" s="3" t="s">
        <v>52</v>
      </c>
      <c r="I17" s="3" t="s">
        <v>94</v>
      </c>
    </row>
    <row r="18" spans="2:9" ht="25.05" customHeight="1" x14ac:dyDescent="0.3">
      <c r="B18" s="3">
        <v>14</v>
      </c>
      <c r="C18" s="3"/>
      <c r="D18" s="39"/>
      <c r="E18" s="19" t="s">
        <v>84</v>
      </c>
      <c r="F18" s="3" t="s">
        <v>62</v>
      </c>
      <c r="G18" s="3"/>
      <c r="H18" s="3" t="s">
        <v>52</v>
      </c>
      <c r="I18" s="3" t="s">
        <v>81</v>
      </c>
    </row>
    <row r="19" spans="2:9" ht="30" customHeight="1" x14ac:dyDescent="0.3">
      <c r="B19" t="s">
        <v>127</v>
      </c>
    </row>
    <row r="20" spans="2:9" ht="33" customHeight="1" x14ac:dyDescent="0.3">
      <c r="B20" s="52" t="s">
        <v>128</v>
      </c>
      <c r="C20" s="52"/>
      <c r="D20" s="52"/>
      <c r="E20" s="52"/>
      <c r="F20" s="52"/>
      <c r="G20" s="52"/>
      <c r="H20" s="52"/>
      <c r="I20" s="52"/>
    </row>
    <row r="21" spans="2:9" ht="33" customHeight="1" x14ac:dyDescent="0.3">
      <c r="B21" s="53" t="s">
        <v>139</v>
      </c>
      <c r="C21" s="53"/>
      <c r="D21" s="53"/>
      <c r="E21" s="53"/>
      <c r="F21" s="53"/>
      <c r="G21" s="53"/>
      <c r="H21" s="53"/>
      <c r="I21" s="53"/>
    </row>
    <row r="22" spans="2:9" ht="30" customHeight="1" x14ac:dyDescent="0.3">
      <c r="B22" s="20"/>
      <c r="C22" s="20"/>
      <c r="D22" s="20"/>
      <c r="E22" s="20"/>
      <c r="F22" s="20"/>
      <c r="G22" s="20"/>
      <c r="H22" s="20"/>
      <c r="I22" s="20"/>
    </row>
    <row r="23" spans="2:9" ht="30" customHeight="1" x14ac:dyDescent="0.3">
      <c r="B23" s="2"/>
      <c r="C23" s="2"/>
      <c r="D23" s="2"/>
      <c r="E23" s="2"/>
      <c r="F23" s="2"/>
      <c r="G23" s="2"/>
      <c r="H23" s="2"/>
      <c r="I23" s="2"/>
    </row>
    <row r="24" spans="2:9" ht="19.95" customHeight="1" x14ac:dyDescent="0.3">
      <c r="B24" s="20"/>
      <c r="C24" s="20"/>
      <c r="D24" s="20"/>
      <c r="E24" s="20"/>
      <c r="F24" s="20"/>
      <c r="G24" s="20"/>
      <c r="H24" s="20"/>
      <c r="I24" s="20"/>
    </row>
    <row r="25" spans="2:9" ht="19.95" customHeight="1" x14ac:dyDescent="0.3"/>
    <row r="26" spans="2:9" ht="19.95" customHeight="1" x14ac:dyDescent="0.3"/>
    <row r="27" spans="2:9" ht="19.95" customHeight="1" x14ac:dyDescent="0.3"/>
    <row r="28" spans="2:9" ht="18" customHeight="1" x14ac:dyDescent="0.3"/>
    <row r="29" spans="2:9" ht="18" customHeight="1" x14ac:dyDescent="0.3"/>
    <row r="30" spans="2:9" ht="18" customHeight="1" x14ac:dyDescent="0.3"/>
    <row r="31" spans="2:9" ht="18" customHeight="1" x14ac:dyDescent="0.3"/>
    <row r="32" spans="2:9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</sheetData>
  <mergeCells count="3">
    <mergeCell ref="B3:I3"/>
    <mergeCell ref="B20:I20"/>
    <mergeCell ref="B21:I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Variants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Challa</dc:creator>
  <cp:lastModifiedBy>Pavan Kumar Challa</cp:lastModifiedBy>
  <dcterms:created xsi:type="dcterms:W3CDTF">2025-12-29T12:49:23Z</dcterms:created>
  <dcterms:modified xsi:type="dcterms:W3CDTF">2026-01-17T06:51:27Z</dcterms:modified>
</cp:coreProperties>
</file>